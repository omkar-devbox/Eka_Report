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itin Aher\EKA, Chakan - ANDON\Report New Req\Report Work Activity\"/>
    </mc:Choice>
  </mc:AlternateContent>
  <bookViews>
    <workbookView xWindow="0" yWindow="0" windowWidth="28800" windowHeight="12300"/>
  </bookViews>
  <sheets>
    <sheet name="SQL Work" sheetId="1" r:id="rId1"/>
    <sheet name="PLC Work" sheetId="10" r:id="rId2"/>
    <sheet name="Work Activity" sheetId="11" r:id="rId3"/>
    <sheet name="Daily" sheetId="7" state="hidden" r:id="rId4"/>
    <sheet name="Line Stop_Prod Loss" sheetId="8" state="hidden" r:id="rId5"/>
    <sheet name="Weely" sheetId="3" state="hidden" r:id="rId6"/>
    <sheet name="Monthly" sheetId="4" state="hidden" r:id="rId7"/>
    <sheet name="MTD" sheetId="5" state="hidden" r:id="rId8"/>
    <sheet name="YTD" sheetId="6" state="hidden" r:id="rId9"/>
    <sheet name="PrevFY" sheetId="2" state="hidden" r:id="rId10"/>
  </sheets>
  <definedNames>
    <definedName name="Daily_C12_F13">Daily!$C$12:$F$13</definedName>
    <definedName name="Daily_C2_F3">Daily!$C$2:$F$3</definedName>
    <definedName name="Daily_C21_F22">Daily!$C$21:$F$22</definedName>
    <definedName name="Daily_C31_F32">Daily!$C$31:$F$32</definedName>
    <definedName name="Daily_L2_M3">Daily!$L$2:$M$3</definedName>
    <definedName name="Line_Stop_Prod_Loss_B23_O24">'Line Stop_Prod Loss'!$B$23:$O$24</definedName>
    <definedName name="Line_Stop_Prod_Loss_B4_O5">'Line Stop_Prod Loss'!$B$4:$O$5</definedName>
    <definedName name="Line_Stop_Prod_Loss_B43_M44">'Line Stop_Prod Loss'!$B$43:$M$44</definedName>
    <definedName name="Monthly_C11_F12">Monthly!$C$11:$F$12</definedName>
    <definedName name="Monthly_C2_F3">Monthly!$C$2:$F$3</definedName>
    <definedName name="Monthly_C21_F22">Monthly!$C$21:$F$22</definedName>
    <definedName name="Monthly_C31_F32">Monthly!$C$31:$F$32</definedName>
    <definedName name="MTD_C11_F12">MTD!$C$11:$F$12</definedName>
    <definedName name="MTD_C2_F3">MTD!$C$2:$F$3</definedName>
    <definedName name="PrevFY_C11_F12">PrevFY!$C$11:$F$12</definedName>
    <definedName name="PrevFY_C2_F3">PrevFY!$C$2:$F$3</definedName>
    <definedName name="PrevFY_C21_F22">PrevFY!$C$21:$F$22</definedName>
    <definedName name="PrevFY_C31_F32">PrevFY!$C$31:$F$32</definedName>
    <definedName name="_xlnm.Print_Area" localSheetId="1">'PLC Work'!$A$3:$U$49</definedName>
    <definedName name="_xlnm.Print_Area" localSheetId="0">'SQL Work'!$A$3:$U$49</definedName>
    <definedName name="Weely_C11_M12">Weely!$C$11:$M$12</definedName>
    <definedName name="Weely_C2_M3">Weely!$C$2:$M$3</definedName>
    <definedName name="Weely_C21_M22">Weely!$C$21:$M$22</definedName>
    <definedName name="Weely_C31_M32">Weely!$C$31:$M$32</definedName>
    <definedName name="YTD_C11_F12">YTD!$C$11:$F$12</definedName>
    <definedName name="YTD_C2_F3">YTD!$C$2:$F$3</definedName>
    <definedName name="YTD_C21_F22">YTD!$C$21:$F$22</definedName>
    <definedName name="YTD_C31_F32">YTD!$C$31:$F$32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5" i="10" l="1"/>
  <c r="I45" i="10"/>
  <c r="H45" i="10"/>
  <c r="G45" i="10"/>
  <c r="F45" i="10"/>
  <c r="E45" i="10"/>
  <c r="J44" i="10"/>
  <c r="I44" i="10"/>
  <c r="H44" i="10"/>
  <c r="G44" i="10"/>
  <c r="F44" i="10"/>
  <c r="E44" i="10"/>
  <c r="J43" i="10"/>
  <c r="I43" i="10"/>
  <c r="H43" i="10"/>
  <c r="G43" i="10"/>
  <c r="F43" i="10"/>
  <c r="E43" i="10"/>
  <c r="J42" i="10"/>
  <c r="I42" i="10"/>
  <c r="H42" i="10"/>
  <c r="G42" i="10"/>
  <c r="F42" i="10"/>
  <c r="E42" i="10"/>
  <c r="E39" i="10"/>
  <c r="E37" i="10"/>
  <c r="E36" i="10"/>
  <c r="E35" i="10"/>
  <c r="E34" i="10"/>
  <c r="E33" i="10"/>
  <c r="E32" i="10"/>
  <c r="M28" i="10"/>
  <c r="L28" i="10"/>
  <c r="K28" i="10"/>
  <c r="J28" i="10"/>
  <c r="I28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O24" i="10"/>
  <c r="N24" i="10"/>
  <c r="P24" i="10" s="1"/>
  <c r="M24" i="10"/>
  <c r="L24" i="10"/>
  <c r="K24" i="10"/>
  <c r="J24" i="10"/>
  <c r="I24" i="10"/>
  <c r="H24" i="10"/>
  <c r="G24" i="10"/>
  <c r="F24" i="10"/>
  <c r="E24" i="10"/>
  <c r="D24" i="10"/>
  <c r="C24" i="10"/>
  <c r="N22" i="10"/>
  <c r="M21" i="10"/>
  <c r="L21" i="10"/>
  <c r="K21" i="10"/>
  <c r="J21" i="10"/>
  <c r="I21" i="10"/>
  <c r="O18" i="10"/>
  <c r="N18" i="10"/>
  <c r="P18" i="10" s="1"/>
  <c r="M18" i="10"/>
  <c r="L18" i="10"/>
  <c r="K18" i="10"/>
  <c r="J18" i="10"/>
  <c r="I18" i="10"/>
  <c r="H18" i="10"/>
  <c r="G18" i="10"/>
  <c r="F18" i="10"/>
  <c r="E18" i="10"/>
  <c r="D18" i="10"/>
  <c r="C18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5" i="10"/>
  <c r="E15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G14" i="10"/>
  <c r="F14" i="10"/>
  <c r="E14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G13" i="10"/>
  <c r="F13" i="10"/>
  <c r="E13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G12" i="10"/>
  <c r="F12" i="10"/>
  <c r="E12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G11" i="10"/>
  <c r="F11" i="10"/>
  <c r="E11" i="10"/>
  <c r="U9" i="10"/>
  <c r="T9" i="10"/>
  <c r="Q9" i="10"/>
  <c r="N9" i="10"/>
  <c r="E9" i="10"/>
  <c r="U6" i="10"/>
  <c r="U5" i="10"/>
  <c r="U4" i="10"/>
  <c r="N22" i="1"/>
  <c r="E32" i="1" l="1"/>
  <c r="E43" i="1" l="1"/>
  <c r="E44" i="1"/>
  <c r="E45" i="1"/>
  <c r="E42" i="1"/>
  <c r="M28" i="1" l="1"/>
  <c r="L28" i="1"/>
  <c r="K28" i="1"/>
  <c r="J28" i="1"/>
  <c r="I28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G14" i="1"/>
  <c r="F14" i="1"/>
  <c r="E14" i="1"/>
  <c r="G13" i="1"/>
  <c r="F13" i="1"/>
  <c r="E13" i="1"/>
  <c r="P25" i="1" l="1"/>
  <c r="P24" i="1"/>
  <c r="E33" i="1"/>
  <c r="E34" i="1"/>
  <c r="E35" i="1"/>
  <c r="E36" i="1"/>
  <c r="E37" i="1"/>
  <c r="J45" i="1" l="1"/>
  <c r="I45" i="1"/>
  <c r="H45" i="1"/>
  <c r="G45" i="1"/>
  <c r="F45" i="1"/>
  <c r="J44" i="1"/>
  <c r="I44" i="1"/>
  <c r="H44" i="1"/>
  <c r="G44" i="1"/>
  <c r="F44" i="1"/>
  <c r="J43" i="1"/>
  <c r="I43" i="1"/>
  <c r="H43" i="1"/>
  <c r="G43" i="1"/>
  <c r="F43" i="1"/>
  <c r="J42" i="1"/>
  <c r="I42" i="1"/>
  <c r="H42" i="1"/>
  <c r="G42" i="1"/>
  <c r="F42" i="1"/>
  <c r="E39" i="1"/>
  <c r="M21" i="1"/>
  <c r="L21" i="1"/>
  <c r="K21" i="1"/>
  <c r="J21" i="1"/>
  <c r="I21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N15" i="1"/>
  <c r="E15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G12" i="1"/>
  <c r="F12" i="1"/>
  <c r="E12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G11" i="1"/>
  <c r="F11" i="1"/>
  <c r="E11" i="1"/>
  <c r="U9" i="1"/>
  <c r="T9" i="1"/>
  <c r="Q9" i="1"/>
  <c r="N9" i="1"/>
  <c r="E9" i="1"/>
  <c r="U6" i="1"/>
  <c r="U5" i="1"/>
  <c r="U4" i="1"/>
  <c r="H3" i="2"/>
  <c r="H3" i="6"/>
  <c r="H12" i="6"/>
  <c r="P17" i="1" l="1"/>
  <c r="P18" i="1"/>
</calcChain>
</file>

<file path=xl/comments1.xml><?xml version="1.0" encoding="utf-8"?>
<comments xmlns="http://schemas.openxmlformats.org/spreadsheetml/2006/main">
  <authors>
    <author>DELL</author>
    <author>Administrator</author>
  </authors>
  <commentList>
    <comment ref="U4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Production month</t>
        </r>
      </text>
    </comment>
    <comment ref="U5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Month days excluding weekly off and holidays</t>
        </r>
      </text>
    </comment>
    <comment ref="B6" authorId="1" shapeId="0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REPORT GENERATION DATE &amp; TIME </t>
        </r>
      </text>
    </comment>
    <comment ref="U6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remaining working days of month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days total</t>
        </r>
      </text>
    </comment>
    <comment ref="F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days total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week total</t>
        </r>
      </text>
    </comment>
    <comment ref="N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shift value of day</t>
        </r>
      </text>
    </comment>
    <comment ref="O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actual value of day</t>
        </r>
      </text>
    </comment>
    <comment ref="Q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month total</t>
        </r>
      </text>
    </comment>
    <comment ref="T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Year total</t>
        </r>
      </text>
    </comment>
    <comment ref="N18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actual value of day</t>
        </r>
      </text>
    </comment>
    <comment ref="A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B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C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D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Fixed field</t>
        </r>
      </text>
    </comment>
    <comment ref="E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time last log value</t>
        </r>
      </text>
    </comment>
    <comment ref="F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Common Line plan down time last log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production count last value log</t>
        </r>
      </text>
    </comment>
    <comment ref="H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Sum of prod loss min</t>
        </r>
      </text>
    </comment>
    <comment ref="I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Sum of call loss min</t>
        </r>
      </text>
    </comment>
    <comment ref="Q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min remark</t>
        </r>
      </text>
    </comment>
    <comment ref="T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station availability log last value</t>
        </r>
      </text>
    </comment>
    <comment ref="E39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Report generation date</t>
        </r>
      </text>
    </comment>
    <comment ref="E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Value</t>
        </r>
      </text>
    </comment>
    <comment ref="F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Value</t>
        </r>
      </text>
    </comment>
    <comment ref="O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value of chassis lline call reason</t>
        </r>
      </text>
    </comment>
  </commentList>
</comments>
</file>

<file path=xl/comments2.xml><?xml version="1.0" encoding="utf-8"?>
<comments xmlns="http://schemas.openxmlformats.org/spreadsheetml/2006/main">
  <authors>
    <author>DELL</author>
    <author>Administrator</author>
  </authors>
  <commentList>
    <comment ref="U4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Production month</t>
        </r>
      </text>
    </comment>
    <comment ref="U5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Month days excluding weekly off and holidays</t>
        </r>
      </text>
    </comment>
    <comment ref="B6" authorId="1" shapeId="0">
      <text>
        <r>
          <rPr>
            <b/>
            <sz val="9"/>
            <rFont val="Times New Roman"/>
          </rPr>
          <t>Administrator:</t>
        </r>
        <r>
          <rPr>
            <sz val="9"/>
            <rFont val="Times New Roman"/>
          </rPr>
          <t xml:space="preserve">
REPORT GENERATION DATE &amp; TIME </t>
        </r>
      </text>
    </comment>
    <comment ref="U6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remaining working days of month</t>
        </r>
      </text>
    </comment>
    <comment ref="E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days total</t>
        </r>
      </text>
    </comment>
    <comment ref="F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days total</t>
        </r>
      </text>
    </comment>
    <comment ref="I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week total</t>
        </r>
      </text>
    </comment>
    <comment ref="N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shift value of day</t>
        </r>
      </text>
    </comment>
    <comment ref="O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actual value of day</t>
        </r>
      </text>
    </comment>
    <comment ref="Q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month total</t>
        </r>
      </text>
    </comment>
    <comment ref="T11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Year total</t>
        </r>
      </text>
    </comment>
    <comment ref="N18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last actual value of day</t>
        </r>
      </text>
    </comment>
    <comment ref="A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B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C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start log value</t>
        </r>
      </text>
    </comment>
    <comment ref="D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Fixed field</t>
        </r>
      </text>
    </comment>
    <comment ref="E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Shift time last log value</t>
        </r>
      </text>
    </comment>
    <comment ref="F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Common Line plan down time last log</t>
        </r>
      </text>
    </comment>
    <comment ref="G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production count last value log</t>
        </r>
      </text>
    </comment>
    <comment ref="H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Sum of prod loss min</t>
        </r>
      </text>
    </comment>
    <comment ref="I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Sum of call loss min</t>
        </r>
      </text>
    </comment>
    <comment ref="Q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min remark</t>
        </r>
      </text>
    </comment>
    <comment ref="T3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station availability log last value</t>
        </r>
      </text>
    </comment>
    <comment ref="E39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Report generation date</t>
        </r>
      </text>
    </comment>
    <comment ref="E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Value</t>
        </r>
      </text>
    </comment>
    <comment ref="F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Call Value</t>
        </r>
      </text>
    </comment>
    <comment ref="O42" authorId="0" shapeId="0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Highest value of chassis lline call reason</t>
        </r>
      </text>
    </comment>
  </commentList>
</comments>
</file>

<file path=xl/comments3.xml><?xml version="1.0" encoding="utf-8"?>
<comments xmlns="http://schemas.openxmlformats.org/spreadsheetml/2006/main">
  <authors>
    <author>DELL</author>
  </authors>
  <commentList>
    <comment ref="D9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0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Existing report Plan - Actual = Diff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4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5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6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in exisitng report Plan count taken as average and actual count based on trigger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{{Date}} : Date.
NAMED RANGE: Daily_C2_F2.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{{TargetCount}} : TargetCount.
NAMED RANGE: Daily_C2_F2.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{{ActualCount}} : ActualCount.
NAMED RANGE: Daily_C2_F2.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Daily_C2_F2.</t>
        </r>
      </text>
    </comment>
    <comment ref="L2" authorId="0" shapeId="0">
      <text>
        <r>
          <rPr>
            <b/>
            <sz val="8"/>
            <rFont val="Tahoma"/>
            <charset val="134"/>
          </rPr>
          <t>[HEADER] REAL TIME DATA MAPPING.
COLUMN {{total_working_days}} : total_working_days.
NAMED RANGE: Daily_L2_M2.</t>
        </r>
      </text>
    </comment>
    <comment ref="M2" authorId="0" shapeId="0">
      <text>
        <r>
          <rPr>
            <b/>
            <sz val="8"/>
            <rFont val="Tahoma"/>
            <charset val="134"/>
          </rPr>
          <t>[HEADER] REAL TIME DATA MAPPING.
COLUMN {{working_days_left}} : working_days_left.
NAMED RANGE: Daily_L2_M2.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{{Date}} : Date NAMED RANGE: Daily_C2_F2.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{{TargetCount}} : TargetCount NAMED RANGE: Daily_C2_F2.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{{ActualCount}} : ActualCount NAMED RANGE: Daily_C2_F2.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Daily_C2_F2.</t>
        </r>
      </text>
    </comment>
    <comment ref="L3" authorId="0" shapeId="0">
      <text>
        <r>
          <rPr>
            <b/>
            <sz val="8"/>
            <rFont val="Tahoma"/>
            <charset val="134"/>
          </rPr>
          <t>[FIRST ROW] REAL TIME DATA MAPPING. COLUMN: {{total_working_days}} : total_working_days NAMED RANGE: Daily_L2_M2.</t>
        </r>
      </text>
    </comment>
    <comment ref="M3" authorId="0" shapeId="0">
      <text>
        <r>
          <rPr>
            <b/>
            <sz val="8"/>
            <rFont val="Tahoma"/>
            <charset val="134"/>
          </rPr>
          <t>[FIRST ROW] REAL TIME DATA MAPPING. COLUMN: {{working_days_left}} : working_days_left NAMED RANGE: Daily_L2_M2.</t>
        </r>
      </text>
    </comment>
    <comment ref="C12" authorId="0" shapeId="0">
      <text>
        <r>
          <rPr>
            <b/>
            <sz val="8"/>
            <rFont val="Tahoma"/>
            <charset val="134"/>
          </rPr>
          <t>[HEADER] REAL TIME DATA MAPPING.
COLUMN {{Date}} : Date.
NAMED RANGE: Daily_C12_F12.</t>
        </r>
      </text>
    </comment>
    <comment ref="D12" authorId="0" shapeId="0">
      <text>
        <r>
          <rPr>
            <b/>
            <sz val="8"/>
            <rFont val="Tahoma"/>
            <charset val="134"/>
          </rPr>
          <t>[HEADER] REAL TIME DATA MAPPING.
COLUMN {{TargetCount}} : TargetCount.
NAMED RANGE: Daily_C12_F12.</t>
        </r>
      </text>
    </comment>
    <comment ref="E12" authorId="0" shapeId="0">
      <text>
        <r>
          <rPr>
            <b/>
            <sz val="8"/>
            <rFont val="Tahoma"/>
            <charset val="134"/>
          </rPr>
          <t>[HEADER] REAL TIME DATA MAPPING.
COLUMN {{ActualCount}} : ActualCount.
NAMED RANGE: Daily_C12_F12.</t>
        </r>
      </text>
    </comment>
    <comment ref="F1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Daily_C12_F12.</t>
        </r>
      </text>
    </comment>
    <comment ref="C13" authorId="0" shapeId="0">
      <text>
        <r>
          <rPr>
            <b/>
            <sz val="8"/>
            <rFont val="Tahoma"/>
            <charset val="134"/>
          </rPr>
          <t>[FIRST ROW] REAL TIME DATA MAPPING. COLUMN: {{Date}} : Date NAMED RANGE: Daily_C12_F12.</t>
        </r>
      </text>
    </comment>
    <comment ref="D13" authorId="0" shapeId="0">
      <text>
        <r>
          <rPr>
            <b/>
            <sz val="8"/>
            <rFont val="Tahoma"/>
            <charset val="134"/>
          </rPr>
          <t>[FIRST ROW] REAL TIME DATA MAPPING. COLUMN: {{TargetCount}} : TargetCount NAMED RANGE: Daily_C12_F12.</t>
        </r>
      </text>
    </comment>
    <comment ref="E13" authorId="0" shapeId="0">
      <text>
        <r>
          <rPr>
            <b/>
            <sz val="8"/>
            <rFont val="Tahoma"/>
            <charset val="134"/>
          </rPr>
          <t>[FIRST ROW] REAL TIME DATA MAPPING. COLUMN: {{ActualCount}} : ActualCount NAMED RANGE: Daily_C12_F12.</t>
        </r>
      </text>
    </comment>
    <comment ref="F1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Daily_C12_F12.</t>
        </r>
      </text>
    </comment>
    <comment ref="C21" authorId="0" shapeId="0">
      <text>
        <r>
          <rPr>
            <b/>
            <sz val="8"/>
            <rFont val="Tahoma"/>
            <charset val="134"/>
          </rPr>
          <t>[HEADER] REAL TIME DATA MAPPING.
COLUMN {{Date}} : Date.
NAMED RANGE: Daily_C21_F21.</t>
        </r>
      </text>
    </comment>
    <comment ref="D21" authorId="0" shapeId="0">
      <text>
        <r>
          <rPr>
            <b/>
            <sz val="8"/>
            <rFont val="Tahoma"/>
            <charset val="134"/>
          </rPr>
          <t>[HEADER] REAL TIME DATA MAPPING.
COLUMN {{TargetCount}} : TargetCount.
NAMED RANGE: Daily_C21_F21.</t>
        </r>
      </text>
    </comment>
    <comment ref="E21" authorId="0" shapeId="0">
      <text>
        <r>
          <rPr>
            <b/>
            <sz val="8"/>
            <rFont val="Tahoma"/>
            <charset val="134"/>
          </rPr>
          <t>[HEADER] REAL TIME DATA MAPPING.
COLUMN {{ActualCount}} : ActualCount.
NAMED RANGE: Daily_C21_F21.</t>
        </r>
      </text>
    </comment>
    <comment ref="F2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Daily_C21_F21.</t>
        </r>
      </text>
    </comment>
    <comment ref="C22" authorId="0" shapeId="0">
      <text>
        <r>
          <rPr>
            <b/>
            <sz val="8"/>
            <rFont val="Tahoma"/>
            <charset val="134"/>
          </rPr>
          <t>[FIRST ROW] REAL TIME DATA MAPPING. COLUMN: {{Date}} : Date NAMED RANGE: Daily_C21_F21.</t>
        </r>
      </text>
    </comment>
    <comment ref="D22" authorId="0" shapeId="0">
      <text>
        <r>
          <rPr>
            <b/>
            <sz val="8"/>
            <rFont val="Tahoma"/>
            <charset val="134"/>
          </rPr>
          <t>[FIRST ROW] REAL TIME DATA MAPPING. COLUMN: {{TargetCount}} : TargetCount NAMED RANGE: Daily_C21_F21.</t>
        </r>
      </text>
    </comment>
    <comment ref="E22" authorId="0" shapeId="0">
      <text>
        <r>
          <rPr>
            <b/>
            <sz val="8"/>
            <rFont val="Tahoma"/>
            <charset val="134"/>
          </rPr>
          <t>[FIRST ROW] REAL TIME DATA MAPPING. COLUMN: {{ActualCount}} : ActualCount NAMED RANGE: Daily_C21_F21.</t>
        </r>
      </text>
    </comment>
    <comment ref="F2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Daily_C21_F21.</t>
        </r>
      </text>
    </comment>
    <comment ref="C31" authorId="0" shapeId="0">
      <text>
        <r>
          <rPr>
            <b/>
            <sz val="8"/>
            <rFont val="Tahoma"/>
            <charset val="134"/>
          </rPr>
          <t>[HEADER] REAL TIME DATA MAPPING.
COLUMN {{Date}} : Date.
NAMED RANGE: Daily_C31_F31.</t>
        </r>
      </text>
    </comment>
    <comment ref="D31" authorId="0" shapeId="0">
      <text>
        <r>
          <rPr>
            <b/>
            <sz val="8"/>
            <rFont val="Tahoma"/>
            <charset val="134"/>
          </rPr>
          <t>[HEADER] REAL TIME DATA MAPPING.
COLUMN {{TargetCount}} : TargetCount.
NAMED RANGE: Daily_C31_F31.</t>
        </r>
      </text>
    </comment>
    <comment ref="E31" authorId="0" shapeId="0">
      <text>
        <r>
          <rPr>
            <b/>
            <sz val="8"/>
            <rFont val="Tahoma"/>
            <charset val="134"/>
          </rPr>
          <t>[HEADER] REAL TIME DATA MAPPING.
COLUMN {{ActualCount}} : ActualCount.
NAMED RANGE: Daily_C31_F31.</t>
        </r>
      </text>
    </comment>
    <comment ref="F3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Daily_C31_F31.</t>
        </r>
      </text>
    </comment>
    <comment ref="C32" authorId="0" shapeId="0">
      <text>
        <r>
          <rPr>
            <b/>
            <sz val="8"/>
            <rFont val="Tahoma"/>
            <charset val="134"/>
          </rPr>
          <t>[FIRST ROW] REAL TIME DATA MAPPING. COLUMN: {{Date}} : Date NAMED RANGE: Daily_C31_F31.</t>
        </r>
      </text>
    </comment>
    <comment ref="D32" authorId="0" shapeId="0">
      <text>
        <r>
          <rPr>
            <b/>
            <sz val="8"/>
            <rFont val="Tahoma"/>
            <charset val="134"/>
          </rPr>
          <t>[FIRST ROW] REAL TIME DATA MAPPING. COLUMN: {{TargetCount}} : TargetCount NAMED RANGE: Daily_C31_F31.</t>
        </r>
      </text>
    </comment>
    <comment ref="E32" authorId="0" shapeId="0">
      <text>
        <r>
          <rPr>
            <b/>
            <sz val="8"/>
            <rFont val="Tahoma"/>
            <charset val="134"/>
          </rPr>
          <t>[FIRST ROW] REAL TIME DATA MAPPING. COLUMN: {{ActualCount}} : ActualCount NAMED RANGE: Daily_C31_F31.</t>
        </r>
      </text>
    </comment>
    <comment ref="F3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Daily_C31_F31.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B4" authorId="0" shapeId="0">
      <text>
        <r>
          <rPr>
            <b/>
            <sz val="8"/>
            <rFont val="Tahoma"/>
            <charset val="134"/>
          </rPr>
          <t>[HEADER] REAL TIME DATA MAPPING.
COLUMN {{TypeOfCallText}} : TypeOfCallText.
NAMED RANGE: Line Stop_Prod Loss_B4_O4.</t>
        </r>
      </text>
    </comment>
    <comment ref="C4" authorId="0" shapeId="0">
      <text>
        <r>
          <rPr>
            <b/>
            <sz val="8"/>
            <rFont val="Tahoma"/>
            <charset val="134"/>
          </rPr>
          <t>[HEADER] REAL TIME DATA MAPPING.
COLUMN {{I-Puma Sub_Minutes}} : I-Puma Sub_Minutes.
NAMED RANGE: Line Stop_Prod Loss_B4_O4.</t>
        </r>
      </text>
    </comment>
    <comment ref="D4" authorId="0" shapeId="0">
      <text>
        <r>
          <rPr>
            <b/>
            <sz val="8"/>
            <rFont val="Tahoma"/>
            <charset val="134"/>
          </rPr>
          <t>[HEADER] REAL TIME DATA MAPPING.
COLUMN {{I-Puma Main_Minutes}} : I-Puma Main_Minutes.
NAMED RANGE: Line Stop_Prod Loss_B4_O4.</t>
        </r>
      </text>
    </comment>
    <comment ref="E4" authorId="0" shapeId="0">
      <text>
        <r>
          <rPr>
            <b/>
            <sz val="8"/>
            <rFont val="Tahoma"/>
            <charset val="134"/>
          </rPr>
          <t>[HEADER] REAL TIME DATA MAPPING.
COLUMN {{BIW Sub_Minutes}} : BIW Sub_Minutes.
NAMED RANGE: Line Stop_Prod Loss_B4_O4.</t>
        </r>
      </text>
    </comment>
    <comment ref="F4" authorId="0" shapeId="0">
      <text>
        <r>
          <rPr>
            <b/>
            <sz val="8"/>
            <rFont val="Tahoma"/>
            <charset val="134"/>
          </rPr>
          <t>[HEADER] REAL TIME DATA MAPPING.
COLUMN {{BIW Main_Minutes}} : BIW Main_Minutes.
NAMED RANGE: Line Stop_Prod Loss_B4_O4.</t>
        </r>
      </text>
    </comment>
    <comment ref="G4" authorId="0" shapeId="0">
      <text>
        <r>
          <rPr>
            <b/>
            <sz val="8"/>
            <rFont val="Tahoma"/>
            <charset val="134"/>
          </rPr>
          <t>[HEADER] REAL TIME DATA MAPPING.
COLUMN {{Micky_Minutes}} : Micky_Minutes.
NAMED RANGE: Line Stop_Prod Loss_B4_O4.</t>
        </r>
      </text>
    </comment>
    <comment ref="H4" authorId="0" shapeId="0">
      <text>
        <r>
          <rPr>
            <b/>
            <sz val="8"/>
            <rFont val="Tahoma"/>
            <charset val="134"/>
          </rPr>
          <t>[HEADER] REAL TIME DATA MAPPING.
COLUMN {{D+6_Minutes}} : D+6_Minutes.
NAMED RANGE: Line Stop_Prod Loss_B4_O4.</t>
        </r>
      </text>
    </comment>
    <comment ref="I4" authorId="0" shapeId="0">
      <text>
        <r>
          <rPr>
            <b/>
            <sz val="8"/>
            <rFont val="Tahoma"/>
            <charset val="134"/>
          </rPr>
          <t>[HEADER] REAL TIME DATA MAPPING.
COLUMN {{Total_Minutes}} : Total_Minutes.
NAMED RANGE: Line Stop_Prod Loss_B4_O4.</t>
        </r>
      </text>
    </comment>
    <comment ref="J4" authorId="0" shapeId="0">
      <text>
        <r>
          <rPr>
            <b/>
            <sz val="8"/>
            <rFont val="Tahoma"/>
            <charset val="134"/>
          </rPr>
          <t>[HEADER] REAL TIME DATA MAPPING.
COLUMN {{I-Puma Sub_TopReason1}} : I-Puma Sub_TopReason1.
NAMED RANGE: Line Stop_Prod Loss_B4_O4.</t>
        </r>
      </text>
    </comment>
    <comment ref="K4" authorId="0" shapeId="0">
      <text>
        <r>
          <rPr>
            <b/>
            <sz val="8"/>
            <rFont val="Tahoma"/>
            <charset val="134"/>
          </rPr>
          <t>[HEADER] REAL TIME DATA MAPPING.
COLUMN {{I-Puma Main_TopReason1}} : I-Puma Main_TopReason1.
NAMED RANGE: Line Stop_Prod Loss_B4_O4.</t>
        </r>
      </text>
    </comment>
    <comment ref="L4" authorId="0" shapeId="0">
      <text>
        <r>
          <rPr>
            <b/>
            <sz val="8"/>
            <rFont val="Tahoma"/>
            <charset val="134"/>
          </rPr>
          <t>[HEADER] REAL TIME DATA MAPPING.
COLUMN {{BIW Sub_TopReason1}} : BIW Sub_TopReason1.
NAMED RANGE: Line Stop_Prod Loss_B4_O4.</t>
        </r>
      </text>
    </comment>
    <comment ref="M4" authorId="0" shapeId="0">
      <text>
        <r>
          <rPr>
            <b/>
            <sz val="8"/>
            <rFont val="Tahoma"/>
            <charset val="134"/>
          </rPr>
          <t>[HEADER] REAL TIME DATA MAPPING.
COLUMN {{BIW Main_TopReason1}} : BIW Main_TopReason1.
NAMED RANGE: Line Stop_Prod Loss_B4_O4.</t>
        </r>
      </text>
    </comment>
    <comment ref="N4" authorId="0" shapeId="0">
      <text>
        <r>
          <rPr>
            <b/>
            <sz val="8"/>
            <rFont val="Tahoma"/>
            <charset val="134"/>
          </rPr>
          <t>[HEADER] REAL TIME DATA MAPPING.
COLUMN {{Micky_TopReason1}} : Micky_TopReason1.
NAMED RANGE: Line Stop_Prod Loss_B4_O4.</t>
        </r>
      </text>
    </comment>
    <comment ref="O4" authorId="0" shapeId="0">
      <text>
        <r>
          <rPr>
            <b/>
            <sz val="8"/>
            <rFont val="Tahoma"/>
            <charset val="134"/>
          </rPr>
          <t>[HEADER] REAL TIME DATA MAPPING.
COLUMN {{D+6_TopReason1}} : D+6_TopReason1.
NAMED RANGE: Line Stop_Prod Loss_B4_O4.</t>
        </r>
      </text>
    </comment>
    <comment ref="B5" authorId="0" shapeId="0">
      <text>
        <r>
          <rPr>
            <b/>
            <sz val="8"/>
            <rFont val="Tahoma"/>
            <charset val="134"/>
          </rPr>
          <t>[FIRST ROW] REAL TIME DATA MAPPING. COLUMN: {{TypeOfCallText}} : TypeOfCallText NAMED RANGE: Line Stop_Prod Loss_B4_O4.</t>
        </r>
      </text>
    </comment>
    <comment ref="C5" authorId="0" shapeId="0">
      <text>
        <r>
          <rPr>
            <b/>
            <sz val="8"/>
            <rFont val="Tahoma"/>
            <charset val="134"/>
          </rPr>
          <t>[FIRST ROW] REAL TIME DATA MAPPING. COLUMN: {{I-Puma Sub_Minutes}} : I-Puma Sub_Minutes NAMED RANGE: Line Stop_Prod Loss_B4_O4.</t>
        </r>
      </text>
    </comment>
    <comment ref="D5" authorId="0" shapeId="0">
      <text>
        <r>
          <rPr>
            <b/>
            <sz val="8"/>
            <rFont val="Tahoma"/>
            <charset val="134"/>
          </rPr>
          <t>[FIRST ROW] REAL TIME DATA MAPPING. COLUMN: {{I-Puma Main_Minutes}} : I-Puma Main_Minutes NAMED RANGE: Line Stop_Prod Loss_B4_O4.</t>
        </r>
      </text>
    </comment>
    <comment ref="E5" authorId="0" shapeId="0">
      <text>
        <r>
          <rPr>
            <b/>
            <sz val="8"/>
            <rFont val="Tahoma"/>
            <charset val="134"/>
          </rPr>
          <t>[FIRST ROW] REAL TIME DATA MAPPING. COLUMN: {{BIW Sub_Minutes}} : BIW Sub_Minutes NAMED RANGE: Line Stop_Prod Loss_B4_O4.</t>
        </r>
      </text>
    </comment>
    <comment ref="F5" authorId="0" shapeId="0">
      <text>
        <r>
          <rPr>
            <b/>
            <sz val="8"/>
            <rFont val="Tahoma"/>
            <charset val="134"/>
          </rPr>
          <t>[FIRST ROW] REAL TIME DATA MAPPING. COLUMN: {{BIW Main_Minutes}} : BIW Main_Minutes NAMED RANGE: Line Stop_Prod Loss_B4_O4.</t>
        </r>
      </text>
    </comment>
    <comment ref="G5" authorId="0" shapeId="0">
      <text>
        <r>
          <rPr>
            <b/>
            <sz val="8"/>
            <rFont val="Tahoma"/>
            <charset val="134"/>
          </rPr>
          <t>[FIRST ROW] REAL TIME DATA MAPPING. COLUMN: {{Micky_Minutes}} : Micky_Minutes NAMED RANGE: Line Stop_Prod Loss_B4_O4.</t>
        </r>
      </text>
    </comment>
    <comment ref="H5" authorId="0" shapeId="0">
      <text>
        <r>
          <rPr>
            <b/>
            <sz val="8"/>
            <rFont val="Tahoma"/>
            <charset val="134"/>
          </rPr>
          <t>[FIRST ROW] REAL TIME DATA MAPPING. COLUMN: {{D+6_Minutes}} : D+6_Minutes NAMED RANGE: Line Stop_Prod Loss_B4_O4.</t>
        </r>
      </text>
    </comment>
    <comment ref="I5" authorId="0" shapeId="0">
      <text>
        <r>
          <rPr>
            <b/>
            <sz val="8"/>
            <rFont val="Tahoma"/>
            <charset val="134"/>
          </rPr>
          <t>[FIRST ROW] REAL TIME DATA MAPPING. COLUMN: {{Total_Minutes}} : Total_Minutes NAMED RANGE: Line Stop_Prod Loss_B4_O4.</t>
        </r>
      </text>
    </comment>
    <comment ref="J5" authorId="0" shapeId="0">
      <text>
        <r>
          <rPr>
            <b/>
            <sz val="8"/>
            <rFont val="Tahoma"/>
            <charset val="134"/>
          </rPr>
          <t>[FIRST ROW] REAL TIME DATA MAPPING. COLUMN: {{I-Puma Sub_TopReason1}} : I-Puma Sub_TopReason1 NAMED RANGE: Line Stop_Prod Loss_B4_O4.</t>
        </r>
      </text>
    </comment>
    <comment ref="K5" authorId="0" shapeId="0">
      <text>
        <r>
          <rPr>
            <b/>
            <sz val="8"/>
            <rFont val="Tahoma"/>
            <charset val="134"/>
          </rPr>
          <t>[FIRST ROW] REAL TIME DATA MAPPING. COLUMN: {{I-Puma Main_TopReason1}} : I-Puma Main_TopReason1 NAMED RANGE: Line Stop_Prod Loss_B4_O4.</t>
        </r>
      </text>
    </comment>
    <comment ref="L5" authorId="0" shapeId="0">
      <text>
        <r>
          <rPr>
            <b/>
            <sz val="8"/>
            <rFont val="Tahoma"/>
            <charset val="134"/>
          </rPr>
          <t>[FIRST ROW] REAL TIME DATA MAPPING. COLUMN: {{BIW Sub_TopReason1}} : BIW Sub_TopReason1 NAMED RANGE: Line Stop_Prod Loss_B4_O4.</t>
        </r>
      </text>
    </comment>
    <comment ref="M5" authorId="0" shapeId="0">
      <text>
        <r>
          <rPr>
            <b/>
            <sz val="8"/>
            <rFont val="Tahoma"/>
            <charset val="134"/>
          </rPr>
          <t>[FIRST ROW] REAL TIME DATA MAPPING. COLUMN: {{BIW Main_TopReason1}} : BIW Main_TopReason1 NAMED RANGE: Line Stop_Prod Loss_B4_O4.</t>
        </r>
      </text>
    </comment>
    <comment ref="N5" authorId="0" shapeId="0">
      <text>
        <r>
          <rPr>
            <b/>
            <sz val="8"/>
            <rFont val="Tahoma"/>
            <charset val="134"/>
          </rPr>
          <t>[FIRST ROW] REAL TIME DATA MAPPING. COLUMN: {{Micky_TopReason1}} : Micky_TopReason1 NAMED RANGE: Line Stop_Prod Loss_B4_O4.</t>
        </r>
      </text>
    </comment>
    <comment ref="O5" authorId="0" shapeId="0">
      <text>
        <r>
          <rPr>
            <b/>
            <sz val="8"/>
            <rFont val="Tahoma"/>
            <charset val="134"/>
          </rPr>
          <t>[FIRST ROW] REAL TIME DATA MAPPING. COLUMN: {{D+6_TopReason1}} : D+6_TopReason1 NAMED RANGE: Line Stop_Prod Loss_B4_O4.</t>
        </r>
      </text>
    </comment>
    <comment ref="B23" authorId="0" shapeId="0">
      <text>
        <r>
          <rPr>
            <b/>
            <sz val="8"/>
            <rFont val="Tahoma"/>
            <charset val="134"/>
          </rPr>
          <t>[HEADER] REAL TIME DATA MAPPING.
COLUMN {{TypeOfCallText}} : TypeOfCallText.
NAMED RANGE: Line Stop_Prod Loss_B23_O23.</t>
        </r>
      </text>
    </comment>
    <comment ref="C23" authorId="0" shapeId="0">
      <text>
        <r>
          <rPr>
            <b/>
            <sz val="8"/>
            <rFont val="Tahoma"/>
            <charset val="134"/>
          </rPr>
          <t>[HEADER] REAL TIME DATA MAPPING.
COLUMN {{I-Puma Sub_Minutes}} : I-Puma Sub_Minutes.
NAMED RANGE: Line Stop_Prod Loss_B23_O23.</t>
        </r>
      </text>
    </comment>
    <comment ref="D23" authorId="0" shapeId="0">
      <text>
        <r>
          <rPr>
            <b/>
            <sz val="8"/>
            <rFont val="Tahoma"/>
            <charset val="134"/>
          </rPr>
          <t>[HEADER] REAL TIME DATA MAPPING.
COLUMN {{I-Puma Main_Minutes}} : I-Puma Main_Minutes.
NAMED RANGE: Line Stop_Prod Loss_B23_O23.</t>
        </r>
      </text>
    </comment>
    <comment ref="E23" authorId="0" shapeId="0">
      <text>
        <r>
          <rPr>
            <b/>
            <sz val="8"/>
            <rFont val="Tahoma"/>
            <charset val="134"/>
          </rPr>
          <t>[HEADER] REAL TIME DATA MAPPING.
COLUMN {{BIW Sub_Minutes}} : BIW Sub_Minutes.
NAMED RANGE: Line Stop_Prod Loss_B23_O23.</t>
        </r>
      </text>
    </comment>
    <comment ref="F23" authorId="0" shapeId="0">
      <text>
        <r>
          <rPr>
            <b/>
            <sz val="8"/>
            <rFont val="Tahoma"/>
            <charset val="134"/>
          </rPr>
          <t>[HEADER] REAL TIME DATA MAPPING.
COLUMN {{BIW Main_Minutes}} : BIW Main_Minutes.
NAMED RANGE: Line Stop_Prod Loss_B23_O23.</t>
        </r>
      </text>
    </comment>
    <comment ref="G23" authorId="0" shapeId="0">
      <text>
        <r>
          <rPr>
            <b/>
            <sz val="8"/>
            <rFont val="Tahoma"/>
            <charset val="134"/>
          </rPr>
          <t>[HEADER] REAL TIME DATA MAPPING.
COLUMN {{Micky_Minutes}} : Micky_Minutes.
NAMED RANGE: Line Stop_Prod Loss_B23_O23.</t>
        </r>
      </text>
    </comment>
    <comment ref="H23" authorId="0" shapeId="0">
      <text>
        <r>
          <rPr>
            <b/>
            <sz val="8"/>
            <rFont val="Tahoma"/>
            <charset val="134"/>
          </rPr>
          <t>[HEADER] REAL TIME DATA MAPPING.
COLUMN {{D+6_Minutes}} : D+6_Minutes.
NAMED RANGE: Line Stop_Prod Loss_B23_O23.</t>
        </r>
      </text>
    </comment>
    <comment ref="I23" authorId="0" shapeId="0">
      <text>
        <r>
          <rPr>
            <b/>
            <sz val="8"/>
            <rFont val="Tahoma"/>
            <charset val="134"/>
          </rPr>
          <t>[HEADER] REAL TIME DATA MAPPING.
COLUMN {{Total_Minutes}} : Total_Minutes.
NAMED RANGE: Line Stop_Prod Loss_B23_O23.</t>
        </r>
      </text>
    </comment>
    <comment ref="J23" authorId="0" shapeId="0">
      <text>
        <r>
          <rPr>
            <b/>
            <sz val="8"/>
            <rFont val="Tahoma"/>
            <charset val="134"/>
          </rPr>
          <t>[HEADER] REAL TIME DATA MAPPING.
COLUMN {{I-Puma Sub_TopReason1}} : I-Puma Sub_TopReason1.
NAMED RANGE: Line Stop_Prod Loss_B23_O23.</t>
        </r>
      </text>
    </comment>
    <comment ref="K23" authorId="0" shapeId="0">
      <text>
        <r>
          <rPr>
            <b/>
            <sz val="8"/>
            <rFont val="Tahoma"/>
            <charset val="134"/>
          </rPr>
          <t>[HEADER] REAL TIME DATA MAPPING.
COLUMN {{I-Puma Main_TopReason1}} : I-Puma Main_TopReason1.
NAMED RANGE: Line Stop_Prod Loss_B23_O23.</t>
        </r>
      </text>
    </comment>
    <comment ref="L23" authorId="0" shapeId="0">
      <text>
        <r>
          <rPr>
            <b/>
            <sz val="8"/>
            <rFont val="Tahoma"/>
            <charset val="134"/>
          </rPr>
          <t>[HEADER] REAL TIME DATA MAPPING.
COLUMN {{BIW Sub_TopReason1}} : BIW Sub_TopReason1.
NAMED RANGE: Line Stop_Prod Loss_B23_O23.</t>
        </r>
      </text>
    </comment>
    <comment ref="M23" authorId="0" shapeId="0">
      <text>
        <r>
          <rPr>
            <b/>
            <sz val="8"/>
            <rFont val="Tahoma"/>
            <charset val="134"/>
          </rPr>
          <t>[HEADER] REAL TIME DATA MAPPING.
COLUMN {{BIW Main_TopReason1}} : BIW Main_TopReason1.
NAMED RANGE: Line Stop_Prod Loss_B23_O23.</t>
        </r>
      </text>
    </comment>
    <comment ref="N23" authorId="0" shapeId="0">
      <text>
        <r>
          <rPr>
            <b/>
            <sz val="8"/>
            <rFont val="Tahoma"/>
            <charset val="134"/>
          </rPr>
          <t>[HEADER] REAL TIME DATA MAPPING.
COLUMN {{Micky_TopReason1}} : Micky_TopReason1.
NAMED RANGE: Line Stop_Prod Loss_B23_O23.</t>
        </r>
      </text>
    </comment>
    <comment ref="O23" authorId="0" shapeId="0">
      <text>
        <r>
          <rPr>
            <b/>
            <sz val="8"/>
            <rFont val="Tahoma"/>
            <charset val="134"/>
          </rPr>
          <t>[HEADER] REAL TIME DATA MAPPING.
COLUMN {{D+6_TopReason1}} : D+6_TopReason1.
NAMED RANGE: Line Stop_Prod Loss_B23_O23.</t>
        </r>
      </text>
    </comment>
    <comment ref="B24" authorId="0" shapeId="0">
      <text>
        <r>
          <rPr>
            <b/>
            <sz val="8"/>
            <rFont val="Tahoma"/>
            <charset val="134"/>
          </rPr>
          <t>[FIRST ROW] REAL TIME DATA MAPPING. COLUMN: {{TypeOfCallText}} : TypeOfCallText NAMED RANGE: Line Stop_Prod Loss_B23_O23.</t>
        </r>
      </text>
    </comment>
    <comment ref="C24" authorId="0" shapeId="0">
      <text>
        <r>
          <rPr>
            <b/>
            <sz val="8"/>
            <rFont val="Tahoma"/>
            <charset val="134"/>
          </rPr>
          <t>[FIRST ROW] REAL TIME DATA MAPPING. COLUMN: {{I-Puma Sub_Minutes}} : I-Puma Sub_Minutes NAMED RANGE: Line Stop_Prod Loss_B23_O23.</t>
        </r>
      </text>
    </comment>
    <comment ref="D24" authorId="0" shapeId="0">
      <text>
        <r>
          <rPr>
            <b/>
            <sz val="8"/>
            <rFont val="Tahoma"/>
            <charset val="134"/>
          </rPr>
          <t>[FIRST ROW] REAL TIME DATA MAPPING. COLUMN: {{I-Puma Main_Minutes}} : I-Puma Main_Minutes NAMED RANGE: Line Stop_Prod Loss_B23_O23.</t>
        </r>
      </text>
    </comment>
    <comment ref="E24" authorId="0" shapeId="0">
      <text>
        <r>
          <rPr>
            <b/>
            <sz val="8"/>
            <rFont val="Tahoma"/>
            <charset val="134"/>
          </rPr>
          <t>[FIRST ROW] REAL TIME DATA MAPPING. COLUMN: {{BIW Sub_Minutes}} : BIW Sub_Minutes NAMED RANGE: Line Stop_Prod Loss_B23_O23.</t>
        </r>
      </text>
    </comment>
    <comment ref="F24" authorId="0" shapeId="0">
      <text>
        <r>
          <rPr>
            <b/>
            <sz val="8"/>
            <rFont val="Tahoma"/>
            <charset val="134"/>
          </rPr>
          <t>[FIRST ROW] REAL TIME DATA MAPPING. COLUMN: {{BIW Main_Minutes}} : BIW Main_Minutes NAMED RANGE: Line Stop_Prod Loss_B23_O23.</t>
        </r>
      </text>
    </comment>
    <comment ref="G24" authorId="0" shapeId="0">
      <text>
        <r>
          <rPr>
            <b/>
            <sz val="8"/>
            <rFont val="Tahoma"/>
            <charset val="134"/>
          </rPr>
          <t>[FIRST ROW] REAL TIME DATA MAPPING. COLUMN: {{Micky_Minutes}} : Micky_Minutes NAMED RANGE: Line Stop_Prod Loss_B23_O23.</t>
        </r>
      </text>
    </comment>
    <comment ref="H24" authorId="0" shapeId="0">
      <text>
        <r>
          <rPr>
            <b/>
            <sz val="8"/>
            <rFont val="Tahoma"/>
            <charset val="134"/>
          </rPr>
          <t>[FIRST ROW] REAL TIME DATA MAPPING. COLUMN: {{D+6_Minutes}} : D+6_Minutes NAMED RANGE: Line Stop_Prod Loss_B23_O23.</t>
        </r>
      </text>
    </comment>
    <comment ref="I24" authorId="0" shapeId="0">
      <text>
        <r>
          <rPr>
            <b/>
            <sz val="8"/>
            <rFont val="Tahoma"/>
            <charset val="134"/>
          </rPr>
          <t>[FIRST ROW] REAL TIME DATA MAPPING. COLUMN: {{Total_Minutes}} : Total_Minutes NAMED RANGE: Line Stop_Prod Loss_B23_O23.</t>
        </r>
      </text>
    </comment>
    <comment ref="J24" authorId="0" shapeId="0">
      <text>
        <r>
          <rPr>
            <b/>
            <sz val="8"/>
            <rFont val="Tahoma"/>
            <charset val="134"/>
          </rPr>
          <t>[FIRST ROW] REAL TIME DATA MAPPING. COLUMN: {{I-Puma Sub_TopReason1}} : I-Puma Sub_TopReason1 NAMED RANGE: Line Stop_Prod Loss_B23_O23.</t>
        </r>
      </text>
    </comment>
    <comment ref="K24" authorId="0" shapeId="0">
      <text>
        <r>
          <rPr>
            <b/>
            <sz val="8"/>
            <rFont val="Tahoma"/>
            <charset val="134"/>
          </rPr>
          <t>[FIRST ROW] REAL TIME DATA MAPPING. COLUMN: {{I-Puma Main_TopReason1}} : I-Puma Main_TopReason1 NAMED RANGE: Line Stop_Prod Loss_B23_O23.</t>
        </r>
      </text>
    </comment>
    <comment ref="L24" authorId="0" shapeId="0">
      <text>
        <r>
          <rPr>
            <b/>
            <sz val="8"/>
            <rFont val="Tahoma"/>
            <charset val="134"/>
          </rPr>
          <t>[FIRST ROW] REAL TIME DATA MAPPING. COLUMN: {{BIW Sub_TopReason1}} : BIW Sub_TopReason1 NAMED RANGE: Line Stop_Prod Loss_B23_O23.</t>
        </r>
      </text>
    </comment>
    <comment ref="M24" authorId="0" shapeId="0">
      <text>
        <r>
          <rPr>
            <b/>
            <sz val="8"/>
            <rFont val="Tahoma"/>
            <charset val="134"/>
          </rPr>
          <t>[FIRST ROW] REAL TIME DATA MAPPING. COLUMN: {{BIW Main_TopReason1}} : BIW Main_TopReason1 NAMED RANGE: Line Stop_Prod Loss_B23_O23.</t>
        </r>
      </text>
    </comment>
    <comment ref="N24" authorId="0" shapeId="0">
      <text>
        <r>
          <rPr>
            <b/>
            <sz val="8"/>
            <rFont val="Tahoma"/>
            <charset val="134"/>
          </rPr>
          <t>[FIRST ROW] REAL TIME DATA MAPPING. COLUMN: {{Micky_TopReason1}} : Micky_TopReason1 NAMED RANGE: Line Stop_Prod Loss_B23_O23.</t>
        </r>
      </text>
    </comment>
    <comment ref="O24" authorId="0" shapeId="0">
      <text>
        <r>
          <rPr>
            <b/>
            <sz val="8"/>
            <rFont val="Tahoma"/>
            <charset val="134"/>
          </rPr>
          <t>[FIRST ROW] REAL TIME DATA MAPPING. COLUMN: {{D+6_TopReason1}} : D+6_TopReason1 NAMED RANGE: Line Stop_Prod Loss_B23_O23.</t>
        </r>
      </text>
    </comment>
    <comment ref="B43" authorId="0" shapeId="0">
      <text>
        <r>
          <rPr>
            <b/>
            <sz val="8"/>
            <rFont val="Tahoma"/>
            <charset val="134"/>
          </rPr>
          <t>[HEADER] REAL TIME DATA MAPPING.
COLUMN {{Shift}} : Shift.
NAMED RANGE: Line Stop_Prod Loss_B43_M43.</t>
        </r>
      </text>
    </comment>
    <comment ref="C43" authorId="0" shapeId="0">
      <text>
        <r>
          <rPr>
            <b/>
            <sz val="8"/>
            <rFont val="Tahoma"/>
            <charset val="134"/>
          </rPr>
          <t>[HEADER] REAL TIME DATA MAPPING.
COLUMN {{ShiftStart}} : ShiftStart.
NAMED RANGE: Line Stop_Prod Loss_B43_M43.</t>
        </r>
      </text>
    </comment>
    <comment ref="D43" authorId="0" shapeId="0">
      <text>
        <r>
          <rPr>
            <b/>
            <sz val="8"/>
            <rFont val="Tahoma"/>
            <charset val="134"/>
          </rPr>
          <t>[HEADER] REAL TIME DATA MAPPING.
COLUMN {{ShiftEnd}} : ShiftEnd.
NAMED RANGE: Line Stop_Prod Loss_B43_M43.</t>
        </r>
      </text>
    </comment>
    <comment ref="E43" authorId="0" shapeId="0">
      <text>
        <r>
          <rPr>
            <b/>
            <sz val="8"/>
            <rFont val="Tahoma"/>
            <charset val="134"/>
          </rPr>
          <t>[HEADER] REAL TIME DATA MAPPING.
COLUMN {{ProdCount}} : ProdCount.
NAMED RANGE: Line Stop_Prod Loss_B43_M43.</t>
        </r>
      </text>
    </comment>
    <comment ref="F43" authorId="0" shapeId="0">
      <text>
        <r>
          <rPr>
            <b/>
            <sz val="8"/>
            <rFont val="Tahoma"/>
            <charset val="134"/>
          </rPr>
          <t>[HEADER] REAL TIME DATA MAPPING.
COLUMN {{ProdLoss}} : ProdLoss.
NAMED RANGE: Line Stop_Prod Loss_B43_M43.</t>
        </r>
      </text>
    </comment>
    <comment ref="G43" authorId="0" shapeId="0">
      <text>
        <r>
          <rPr>
            <b/>
            <sz val="8"/>
            <rFont val="Tahoma"/>
            <charset val="134"/>
          </rPr>
          <t>[HEADER] REAL TIME DATA MAPPING.
COLUMN {{ShiftTime}} : ShiftTime.
NAMED RANGE: Line Stop_Prod Loss_B43_M43.</t>
        </r>
      </text>
    </comment>
    <comment ref="H43" authorId="0" shapeId="0">
      <text>
        <r>
          <rPr>
            <b/>
            <sz val="8"/>
            <rFont val="Tahoma"/>
            <charset val="134"/>
          </rPr>
          <t>[HEADER] REAL TIME DATA MAPPING.
COLUMN {{BreakTime}} : BreakTime.
NAMED RANGE: Line Stop_Prod Loss_B43_M43.</t>
        </r>
      </text>
    </comment>
    <comment ref="I43" authorId="0" shapeId="0">
      <text>
        <r>
          <rPr>
            <b/>
            <sz val="8"/>
            <rFont val="Tahoma"/>
            <charset val="134"/>
          </rPr>
          <t>[HEADER] REAL TIME DATA MAPPING.
COLUMN {{LinePause}} : LinePause.
NAMED RANGE: Line Stop_Prod Loss_B43_M43.</t>
        </r>
      </text>
    </comment>
    <comment ref="J43" authorId="0" shapeId="0">
      <text>
        <r>
          <rPr>
            <b/>
            <sz val="8"/>
            <rFont val="Tahoma"/>
            <charset val="134"/>
          </rPr>
          <t>[HEADER] REAL TIME DATA MAPPING.
COLUMN {{DownTime}} : DownTime.
NAMED RANGE: Line Stop_Prod Loss_B43_M43.</t>
        </r>
      </text>
    </comment>
    <comment ref="K43" authorId="0" shapeId="0">
      <text>
        <r>
          <rPr>
            <b/>
            <sz val="8"/>
            <rFont val="Tahoma"/>
            <charset val="134"/>
          </rPr>
          <t>[HEADER] REAL TIME DATA MAPPING.
COLUMN {{ShiftWorkingTime}} : ShiftWorkingTime.
NAMED RANGE: Line Stop_Prod Loss_B43_M43.</t>
        </r>
      </text>
    </comment>
    <comment ref="L43" authorId="0" shapeId="0">
      <text>
        <r>
          <rPr>
            <b/>
            <sz val="8"/>
            <rFont val="Tahoma"/>
            <charset val="134"/>
          </rPr>
          <t>[HEADER] REAL TIME DATA MAPPING.
COLUMN {{OEE}} : OEE.
NAMED RANGE: Line Stop_Prod Loss_B43_M43.</t>
        </r>
      </text>
    </comment>
    <comment ref="M43" authorId="0" shapeId="0">
      <text>
        <r>
          <rPr>
            <b/>
            <sz val="8"/>
            <rFont val="Tahoma"/>
            <charset val="134"/>
          </rPr>
          <t>[HEADER] REAL TIME DATA MAPPING.
COLUMN {{DT}} : DT.
NAMED RANGE: Line Stop_Prod Loss_B43_M43.</t>
        </r>
      </text>
    </comment>
    <comment ref="B44" authorId="0" shapeId="0">
      <text>
        <r>
          <rPr>
            <b/>
            <sz val="8"/>
            <rFont val="Tahoma"/>
            <charset val="134"/>
          </rPr>
          <t>[FIRST ROW] REAL TIME DATA MAPPING. COLUMN: {{Shift}} : Shift NAMED RANGE: Line Stop_Prod Loss_B43_M43.</t>
        </r>
      </text>
    </comment>
    <comment ref="C44" authorId="0" shapeId="0">
      <text>
        <r>
          <rPr>
            <b/>
            <sz val="8"/>
            <rFont val="Tahoma"/>
            <charset val="134"/>
          </rPr>
          <t>[FIRST ROW] REAL TIME DATA MAPPING. COLUMN: {{ShiftStart}} : ShiftStart NAMED RANGE: Line Stop_Prod Loss_B43_M43.</t>
        </r>
      </text>
    </comment>
    <comment ref="D44" authorId="0" shapeId="0">
      <text>
        <r>
          <rPr>
            <b/>
            <sz val="8"/>
            <rFont val="Tahoma"/>
            <charset val="134"/>
          </rPr>
          <t>[FIRST ROW] REAL TIME DATA MAPPING. COLUMN: {{ShiftEnd}} : ShiftEnd NAMED RANGE: Line Stop_Prod Loss_B43_M43.</t>
        </r>
      </text>
    </comment>
    <comment ref="E44" authorId="0" shapeId="0">
      <text>
        <r>
          <rPr>
            <b/>
            <sz val="8"/>
            <rFont val="Tahoma"/>
            <charset val="134"/>
          </rPr>
          <t>[FIRST ROW] REAL TIME DATA MAPPING. COLUMN: {{ProdCount}} : ProdCount NAMED RANGE: Line Stop_Prod Loss_B43_M43.</t>
        </r>
      </text>
    </comment>
    <comment ref="F44" authorId="0" shapeId="0">
      <text>
        <r>
          <rPr>
            <b/>
            <sz val="8"/>
            <rFont val="Tahoma"/>
            <charset val="134"/>
          </rPr>
          <t>[FIRST ROW] REAL TIME DATA MAPPING. COLUMN: {{ProdLoss}} : ProdLoss NAMED RANGE: Line Stop_Prod Loss_B43_M43.</t>
        </r>
      </text>
    </comment>
    <comment ref="G44" authorId="0" shapeId="0">
      <text>
        <r>
          <rPr>
            <b/>
            <sz val="8"/>
            <rFont val="Tahoma"/>
            <charset val="134"/>
          </rPr>
          <t>[FIRST ROW] REAL TIME DATA MAPPING. COLUMN: {{ShiftTime}} : ShiftTime NAMED RANGE: Line Stop_Prod Loss_B43_M43.</t>
        </r>
      </text>
    </comment>
    <comment ref="H44" authorId="0" shapeId="0">
      <text>
        <r>
          <rPr>
            <b/>
            <sz val="8"/>
            <rFont val="Tahoma"/>
            <charset val="134"/>
          </rPr>
          <t>[FIRST ROW] REAL TIME DATA MAPPING. COLUMN: {{BreakTime}} : BreakTime NAMED RANGE: Line Stop_Prod Loss_B43_M43.</t>
        </r>
      </text>
    </comment>
    <comment ref="I44" authorId="0" shapeId="0">
      <text>
        <r>
          <rPr>
            <b/>
            <sz val="8"/>
            <rFont val="Tahoma"/>
            <charset val="134"/>
          </rPr>
          <t>[FIRST ROW] REAL TIME DATA MAPPING. COLUMN: {{LinePause}} : LinePause NAMED RANGE: Line Stop_Prod Loss_B43_M43.</t>
        </r>
      </text>
    </comment>
    <comment ref="J44" authorId="0" shapeId="0">
      <text>
        <r>
          <rPr>
            <b/>
            <sz val="8"/>
            <rFont val="Tahoma"/>
            <charset val="134"/>
          </rPr>
          <t>[FIRST ROW] REAL TIME DATA MAPPING. COLUMN: {{DownTime}} : DownTime NAMED RANGE: Line Stop_Prod Loss_B43_M43.</t>
        </r>
      </text>
    </comment>
    <comment ref="K44" authorId="0" shapeId="0">
      <text>
        <r>
          <rPr>
            <b/>
            <sz val="8"/>
            <rFont val="Tahoma"/>
            <charset val="134"/>
          </rPr>
          <t>[FIRST ROW] REAL TIME DATA MAPPING. COLUMN: {{ShiftWorkingTime}} : ShiftWorkingTime NAMED RANGE: Line Stop_Prod Loss_B43_M43.</t>
        </r>
      </text>
    </comment>
    <comment ref="L44" authorId="0" shapeId="0">
      <text>
        <r>
          <rPr>
            <b/>
            <sz val="8"/>
            <rFont val="Tahoma"/>
            <charset val="134"/>
          </rPr>
          <t>[FIRST ROW] REAL TIME DATA MAPPING. COLUMN: {{OEE}} : OEE NAMED RANGE: Line Stop_Prod Loss_B43_M43.</t>
        </r>
      </text>
    </comment>
    <comment ref="M44" authorId="0" shapeId="0">
      <text>
        <r>
          <rPr>
            <b/>
            <sz val="8"/>
            <rFont val="Tahoma"/>
            <charset val="134"/>
          </rPr>
          <t>[FIRST ROW] REAL TIME DATA MAPPING. COLUMN: {{DT}} : DT NAMED RANGE: Line Stop_Prod Loss_B43_M43.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{{Comment}} : Comment.
NAMED RANGE: Weely_C2_M2.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{{Week1_Target}} : Week1_Target.
NAMED RANGE: Weely_C2_M2.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{{Week1_Actual}} : Week1_Actual.
NAMED RANGE: Weely_C2_M2.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{{Week2_Target}} : Week2_Target.
NAMED RANGE: Weely_C2_M2.</t>
        </r>
      </text>
    </comment>
    <comment ref="G2" authorId="0" shapeId="0">
      <text>
        <r>
          <rPr>
            <b/>
            <sz val="8"/>
            <rFont val="Tahoma"/>
            <charset val="134"/>
          </rPr>
          <t>[HEADER] REAL TIME DATA MAPPING.
COLUMN {{Week2_Actual}} : Week2_Actual.
NAMED RANGE: Weely_C2_M2.</t>
        </r>
      </text>
    </comment>
    <comment ref="H2" authorId="0" shapeId="0">
      <text>
        <r>
          <rPr>
            <b/>
            <sz val="8"/>
            <rFont val="Tahoma"/>
            <charset val="134"/>
          </rPr>
          <t>[HEADER] REAL TIME DATA MAPPING.
COLUMN {{Week3_Target}} : Week3_Target.
NAMED RANGE: Weely_C2_M2.</t>
        </r>
      </text>
    </comment>
    <comment ref="I2" authorId="0" shapeId="0">
      <text>
        <r>
          <rPr>
            <b/>
            <sz val="8"/>
            <rFont val="Tahoma"/>
            <charset val="134"/>
          </rPr>
          <t>[HEADER] REAL TIME DATA MAPPING.
COLUMN {{Week3_Actual}} : Week3_Actual.
NAMED RANGE: Weely_C2_M2.</t>
        </r>
      </text>
    </comment>
    <comment ref="J2" authorId="0" shapeId="0">
      <text>
        <r>
          <rPr>
            <b/>
            <sz val="8"/>
            <rFont val="Tahoma"/>
            <charset val="134"/>
          </rPr>
          <t>[HEADER] REAL TIME DATA MAPPING.
COLUMN {{Week4_Target}} : Week4_Target.
NAMED RANGE: Weely_C2_M2.</t>
        </r>
      </text>
    </comment>
    <comment ref="K2" authorId="0" shapeId="0">
      <text>
        <r>
          <rPr>
            <b/>
            <sz val="8"/>
            <rFont val="Tahoma"/>
            <charset val="134"/>
          </rPr>
          <t>[HEADER] REAL TIME DATA MAPPING.
COLUMN {{Week4_Actual}} : Week4_Actual.
NAMED RANGE: Weely_C2_M2.</t>
        </r>
      </text>
    </comment>
    <comment ref="L2" authorId="0" shapeId="0">
      <text>
        <r>
          <rPr>
            <b/>
            <sz val="8"/>
            <rFont val="Tahoma"/>
            <charset val="134"/>
          </rPr>
          <t>[HEADER] REAL TIME DATA MAPPING.
COLUMN {{Week5_Target}} : Week5_Target.
NAMED RANGE: Weely_C2_M2.</t>
        </r>
      </text>
    </comment>
    <comment ref="M2" authorId="0" shapeId="0">
      <text>
        <r>
          <rPr>
            <b/>
            <sz val="8"/>
            <rFont val="Tahoma"/>
            <charset val="134"/>
          </rPr>
          <t>[HEADER] REAL TIME DATA MAPPING.
COLUMN {{Week5_Actual}} : Week5_Actual.
NAMED RANGE: Weely_C2_M2.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{{Comment}} : Comment NAMED RANGE: Weely_C2_M2.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{{Week1_Target}} : Week1_Target NAMED RANGE: Weely_C2_M2.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{{Week1_Actual}} : Week1_Actual NAMED RANGE: Weely_C2_M2.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{{Week2_Target}} : Week2_Target NAMED RANGE: Weely_C2_M2.</t>
        </r>
      </text>
    </comment>
    <comment ref="G3" authorId="0" shapeId="0">
      <text>
        <r>
          <rPr>
            <b/>
            <sz val="8"/>
            <rFont val="Tahoma"/>
            <charset val="134"/>
          </rPr>
          <t>[FIRST ROW] REAL TIME DATA MAPPING. COLUMN: {{Week2_Actual}} : Week2_Actual NAMED RANGE: Weely_C2_M2.</t>
        </r>
      </text>
    </comment>
    <comment ref="H3" authorId="0" shapeId="0">
      <text>
        <r>
          <rPr>
            <b/>
            <sz val="8"/>
            <rFont val="Tahoma"/>
            <charset val="134"/>
          </rPr>
          <t>[FIRST ROW] REAL TIME DATA MAPPING. COLUMN: {{Week3_Target}} : Week3_Target NAMED RANGE: Weely_C2_M2.</t>
        </r>
      </text>
    </comment>
    <comment ref="I3" authorId="0" shapeId="0">
      <text>
        <r>
          <rPr>
            <b/>
            <sz val="8"/>
            <rFont val="Tahoma"/>
            <charset val="134"/>
          </rPr>
          <t>[FIRST ROW] REAL TIME DATA MAPPING. COLUMN: {{Week3_Actual}} : Week3_Actual NAMED RANGE: Weely_C2_M2.</t>
        </r>
      </text>
    </comment>
    <comment ref="J3" authorId="0" shapeId="0">
      <text>
        <r>
          <rPr>
            <b/>
            <sz val="8"/>
            <rFont val="Tahoma"/>
            <charset val="134"/>
          </rPr>
          <t>[FIRST ROW] REAL TIME DATA MAPPING. COLUMN: {{Week4_Target}} : Week4_Target NAMED RANGE: Weely_C2_M2.</t>
        </r>
      </text>
    </comment>
    <comment ref="K3" authorId="0" shapeId="0">
      <text>
        <r>
          <rPr>
            <b/>
            <sz val="8"/>
            <rFont val="Tahoma"/>
            <charset val="134"/>
          </rPr>
          <t>[FIRST ROW] REAL TIME DATA MAPPING. COLUMN: {{Week4_Actual}} : Week4_Actual NAMED RANGE: Weely_C2_M2.</t>
        </r>
      </text>
    </comment>
    <comment ref="L3" authorId="0" shapeId="0">
      <text>
        <r>
          <rPr>
            <b/>
            <sz val="8"/>
            <rFont val="Tahoma"/>
            <charset val="134"/>
          </rPr>
          <t>[FIRST ROW] REAL TIME DATA MAPPING. COLUMN: {{Week5_Target}} : Week5_Target NAMED RANGE: Weely_C2_M2.</t>
        </r>
      </text>
    </comment>
    <comment ref="M3" authorId="0" shapeId="0">
      <text>
        <r>
          <rPr>
            <b/>
            <sz val="8"/>
            <rFont val="Tahoma"/>
            <charset val="134"/>
          </rPr>
          <t>[FIRST ROW] REAL TIME DATA MAPPING. COLUMN: {{Week5_Actual}} : Week5_Actual NAMED RANGE: Weely_C2_M2.</t>
        </r>
      </text>
    </comment>
    <comment ref="C11" authorId="0" shapeId="0">
      <text>
        <r>
          <rPr>
            <b/>
            <sz val="8"/>
            <rFont val="Tahoma"/>
            <charset val="134"/>
          </rPr>
          <t>[HEADER] REAL TIME DATA MAPPING.
COLUMN {{Comment}} : Comment.
NAMED RANGE: Weely_C11_M11.</t>
        </r>
      </text>
    </comment>
    <comment ref="D11" authorId="0" shapeId="0">
      <text>
        <r>
          <rPr>
            <b/>
            <sz val="8"/>
            <rFont val="Tahoma"/>
            <charset val="134"/>
          </rPr>
          <t>[HEADER] REAL TIME DATA MAPPING.
COLUMN {{Week1_Target}} : Week1_Target.
NAMED RANGE: Weely_C11_M11.</t>
        </r>
      </text>
    </comment>
    <comment ref="E11" authorId="0" shapeId="0">
      <text>
        <r>
          <rPr>
            <b/>
            <sz val="8"/>
            <rFont val="Tahoma"/>
            <charset val="134"/>
          </rPr>
          <t>[HEADER] REAL TIME DATA MAPPING.
COLUMN {{Week1_Actual}} : Week1_Actual.
NAMED RANGE: Weely_C11_M11.</t>
        </r>
      </text>
    </comment>
    <comment ref="F11" authorId="0" shapeId="0">
      <text>
        <r>
          <rPr>
            <b/>
            <sz val="8"/>
            <rFont val="Tahoma"/>
            <charset val="134"/>
          </rPr>
          <t>[HEADER] REAL TIME DATA MAPPING.
COLUMN {{Week2_Target}} : Week2_Target.
NAMED RANGE: Weely_C11_M11.</t>
        </r>
      </text>
    </comment>
    <comment ref="G11" authorId="0" shapeId="0">
      <text>
        <r>
          <rPr>
            <b/>
            <sz val="8"/>
            <rFont val="Tahoma"/>
            <charset val="134"/>
          </rPr>
          <t>[HEADER] REAL TIME DATA MAPPING.
COLUMN {{Week2_Actual}} : Week2_Actual.
NAMED RANGE: Weely_C11_M11.</t>
        </r>
      </text>
    </comment>
    <comment ref="H11" authorId="0" shapeId="0">
      <text>
        <r>
          <rPr>
            <b/>
            <sz val="8"/>
            <rFont val="Tahoma"/>
            <charset val="134"/>
          </rPr>
          <t>[HEADER] REAL TIME DATA MAPPING.
COLUMN {{Week3_Target}} : Week3_Target.
NAMED RANGE: Weely_C11_M11.</t>
        </r>
      </text>
    </comment>
    <comment ref="I11" authorId="0" shapeId="0">
      <text>
        <r>
          <rPr>
            <b/>
            <sz val="8"/>
            <rFont val="Tahoma"/>
            <charset val="134"/>
          </rPr>
          <t>[HEADER] REAL TIME DATA MAPPING.
COLUMN {{Week3_Actual}} : Week3_Actual.
NAMED RANGE: Weely_C11_M11.</t>
        </r>
      </text>
    </comment>
    <comment ref="J11" authorId="0" shapeId="0">
      <text>
        <r>
          <rPr>
            <b/>
            <sz val="8"/>
            <rFont val="Tahoma"/>
            <charset val="134"/>
          </rPr>
          <t>[HEADER] REAL TIME DATA MAPPING.
COLUMN {{Week4_Target}} : Week4_Target.
NAMED RANGE: Weely_C11_M11.</t>
        </r>
      </text>
    </comment>
    <comment ref="K11" authorId="0" shapeId="0">
      <text>
        <r>
          <rPr>
            <b/>
            <sz val="8"/>
            <rFont val="Tahoma"/>
            <charset val="134"/>
          </rPr>
          <t>[HEADER] REAL TIME DATA MAPPING.
COLUMN {{Week4_Actual}} : Week4_Actual.
NAMED RANGE: Weely_C11_M11.</t>
        </r>
      </text>
    </comment>
    <comment ref="L11" authorId="0" shapeId="0">
      <text>
        <r>
          <rPr>
            <b/>
            <sz val="8"/>
            <rFont val="Tahoma"/>
            <charset val="134"/>
          </rPr>
          <t>[HEADER] REAL TIME DATA MAPPING.
COLUMN {{Week5_Target}} : Week5_Target.
NAMED RANGE: Weely_C11_M11.</t>
        </r>
      </text>
    </comment>
    <comment ref="M11" authorId="0" shapeId="0">
      <text>
        <r>
          <rPr>
            <b/>
            <sz val="8"/>
            <rFont val="Tahoma"/>
            <charset val="134"/>
          </rPr>
          <t>[HEADER] REAL TIME DATA MAPPING.
COLUMN {{Week5_Actual}} : Week5_Actual.
NAMED RANGE: Weely_C11_M11.</t>
        </r>
      </text>
    </comment>
    <comment ref="C12" authorId="0" shapeId="0">
      <text>
        <r>
          <rPr>
            <b/>
            <sz val="8"/>
            <rFont val="Tahoma"/>
            <charset val="134"/>
          </rPr>
          <t>[FIRST ROW] REAL TIME DATA MAPPING. COLUMN: {{Comment}} : Comment NAMED RANGE: Weely_C11_M11.</t>
        </r>
      </text>
    </comment>
    <comment ref="D12" authorId="0" shapeId="0">
      <text>
        <r>
          <rPr>
            <b/>
            <sz val="8"/>
            <rFont val="Tahoma"/>
            <charset val="134"/>
          </rPr>
          <t>[FIRST ROW] REAL TIME DATA MAPPING. COLUMN: {{Week1_Target}} : Week1_Target NAMED RANGE: Weely_C11_M11.</t>
        </r>
      </text>
    </comment>
    <comment ref="E12" authorId="0" shapeId="0">
      <text>
        <r>
          <rPr>
            <b/>
            <sz val="8"/>
            <rFont val="Tahoma"/>
            <charset val="134"/>
          </rPr>
          <t>[FIRST ROW] REAL TIME DATA MAPPING. COLUMN: {{Week1_Actual}} : Week1_Actual NAMED RANGE: Weely_C11_M11.</t>
        </r>
      </text>
    </comment>
    <comment ref="F12" authorId="0" shapeId="0">
      <text>
        <r>
          <rPr>
            <b/>
            <sz val="8"/>
            <rFont val="Tahoma"/>
            <charset val="134"/>
          </rPr>
          <t>[FIRST ROW] REAL TIME DATA MAPPING. COLUMN: {{Week2_Target}} : Week2_Target NAMED RANGE: Weely_C11_M11.</t>
        </r>
      </text>
    </comment>
    <comment ref="G12" authorId="0" shapeId="0">
      <text>
        <r>
          <rPr>
            <b/>
            <sz val="8"/>
            <rFont val="Tahoma"/>
            <charset val="134"/>
          </rPr>
          <t>[FIRST ROW] REAL TIME DATA MAPPING. COLUMN: {{Week2_Actual}} : Week2_Actual NAMED RANGE: Weely_C11_M11.</t>
        </r>
      </text>
    </comment>
    <comment ref="H12" authorId="0" shapeId="0">
      <text>
        <r>
          <rPr>
            <b/>
            <sz val="8"/>
            <rFont val="Tahoma"/>
            <charset val="134"/>
          </rPr>
          <t>[FIRST ROW] REAL TIME DATA MAPPING. COLUMN: {{Week3_Target}} : Week3_Target NAMED RANGE: Weely_C11_M11.</t>
        </r>
      </text>
    </comment>
    <comment ref="I12" authorId="0" shapeId="0">
      <text>
        <r>
          <rPr>
            <b/>
            <sz val="8"/>
            <rFont val="Tahoma"/>
            <charset val="134"/>
          </rPr>
          <t>[FIRST ROW] REAL TIME DATA MAPPING. COLUMN: {{Week3_Actual}} : Week3_Actual NAMED RANGE: Weely_C11_M11.</t>
        </r>
      </text>
    </comment>
    <comment ref="J12" authorId="0" shapeId="0">
      <text>
        <r>
          <rPr>
            <b/>
            <sz val="8"/>
            <rFont val="Tahoma"/>
            <charset val="134"/>
          </rPr>
          <t>[FIRST ROW] REAL TIME DATA MAPPING. COLUMN: {{Week4_Target}} : Week4_Target NAMED RANGE: Weely_C11_M11.</t>
        </r>
      </text>
    </comment>
    <comment ref="K12" authorId="0" shapeId="0">
      <text>
        <r>
          <rPr>
            <b/>
            <sz val="8"/>
            <rFont val="Tahoma"/>
            <charset val="134"/>
          </rPr>
          <t>[FIRST ROW] REAL TIME DATA MAPPING. COLUMN: {{Week4_Actual}} : Week4_Actual NAMED RANGE: Weely_C11_M11.</t>
        </r>
      </text>
    </comment>
    <comment ref="L12" authorId="0" shapeId="0">
      <text>
        <r>
          <rPr>
            <b/>
            <sz val="8"/>
            <rFont val="Tahoma"/>
            <charset val="134"/>
          </rPr>
          <t>[FIRST ROW] REAL TIME DATA MAPPING. COLUMN: {{Week5_Target}} : Week5_Target NAMED RANGE: Weely_C11_M11.</t>
        </r>
      </text>
    </comment>
    <comment ref="M12" authorId="0" shapeId="0">
      <text>
        <r>
          <rPr>
            <b/>
            <sz val="8"/>
            <rFont val="Tahoma"/>
            <charset val="134"/>
          </rPr>
          <t>[FIRST ROW] REAL TIME DATA MAPPING. COLUMN: {{Week5_Actual}} : Week5_Actual NAMED RANGE: Weely_C11_M11.</t>
        </r>
      </text>
    </comment>
    <comment ref="C21" authorId="0" shapeId="0">
      <text>
        <r>
          <rPr>
            <b/>
            <sz val="8"/>
            <rFont val="Tahoma"/>
            <charset val="134"/>
          </rPr>
          <t>[HEADER] REAL TIME DATA MAPPING.
COLUMN {{Comment}} : Comment.
NAMED RANGE: Weely_C21_M21.</t>
        </r>
      </text>
    </comment>
    <comment ref="D21" authorId="0" shapeId="0">
      <text>
        <r>
          <rPr>
            <b/>
            <sz val="8"/>
            <rFont val="Tahoma"/>
            <charset val="134"/>
          </rPr>
          <t>[HEADER] REAL TIME DATA MAPPING.
COLUMN {{Week1_Target}} : Week1_Target.
NAMED RANGE: Weely_C21_M21.</t>
        </r>
      </text>
    </comment>
    <comment ref="E21" authorId="0" shapeId="0">
      <text>
        <r>
          <rPr>
            <b/>
            <sz val="8"/>
            <rFont val="Tahoma"/>
            <charset val="134"/>
          </rPr>
          <t>[HEADER] REAL TIME DATA MAPPING.
COLUMN {{Week1_Actual}} : Week1_Actual.
NAMED RANGE: Weely_C21_M21.</t>
        </r>
      </text>
    </comment>
    <comment ref="F21" authorId="0" shapeId="0">
      <text>
        <r>
          <rPr>
            <b/>
            <sz val="8"/>
            <rFont val="Tahoma"/>
            <charset val="134"/>
          </rPr>
          <t>[HEADER] REAL TIME DATA MAPPING.
COLUMN {{Week2_Target}} : Week2_Target.
NAMED RANGE: Weely_C21_M21.</t>
        </r>
      </text>
    </comment>
    <comment ref="G21" authorId="0" shapeId="0">
      <text>
        <r>
          <rPr>
            <b/>
            <sz val="8"/>
            <rFont val="Tahoma"/>
            <charset val="134"/>
          </rPr>
          <t>[HEADER] REAL TIME DATA MAPPING.
COLUMN {{Week2_Actual}} : Week2_Actual.
NAMED RANGE: Weely_C21_M21.</t>
        </r>
      </text>
    </comment>
    <comment ref="H21" authorId="0" shapeId="0">
      <text>
        <r>
          <rPr>
            <b/>
            <sz val="8"/>
            <rFont val="Tahoma"/>
            <charset val="134"/>
          </rPr>
          <t>[HEADER] REAL TIME DATA MAPPING.
COLUMN {{Week3_Target}} : Week3_Target.
NAMED RANGE: Weely_C21_M21.</t>
        </r>
      </text>
    </comment>
    <comment ref="I21" authorId="0" shapeId="0">
      <text>
        <r>
          <rPr>
            <b/>
            <sz val="8"/>
            <rFont val="Tahoma"/>
            <charset val="134"/>
          </rPr>
          <t>[HEADER] REAL TIME DATA MAPPING.
COLUMN {{Week3_Actual}} : Week3_Actual.
NAMED RANGE: Weely_C21_M21.</t>
        </r>
      </text>
    </comment>
    <comment ref="J21" authorId="0" shapeId="0">
      <text>
        <r>
          <rPr>
            <b/>
            <sz val="8"/>
            <rFont val="Tahoma"/>
            <charset val="134"/>
          </rPr>
          <t>[HEADER] REAL TIME DATA MAPPING.
COLUMN {{Week4_Target}} : Week4_Target.
NAMED RANGE: Weely_C21_M21.</t>
        </r>
      </text>
    </comment>
    <comment ref="K21" authorId="0" shapeId="0">
      <text>
        <r>
          <rPr>
            <b/>
            <sz val="8"/>
            <rFont val="Tahoma"/>
            <charset val="134"/>
          </rPr>
          <t>[HEADER] REAL TIME DATA MAPPING.
COLUMN {{Week4_Actual}} : Week4_Actual.
NAMED RANGE: Weely_C21_M21.</t>
        </r>
      </text>
    </comment>
    <comment ref="L21" authorId="0" shapeId="0">
      <text>
        <r>
          <rPr>
            <b/>
            <sz val="8"/>
            <rFont val="Tahoma"/>
            <charset val="134"/>
          </rPr>
          <t>[HEADER] REAL TIME DATA MAPPING.
COLUMN {{Week5_Target}} : Week5_Target.
NAMED RANGE: Weely_C21_M21.</t>
        </r>
      </text>
    </comment>
    <comment ref="M21" authorId="0" shapeId="0">
      <text>
        <r>
          <rPr>
            <b/>
            <sz val="8"/>
            <rFont val="Tahoma"/>
            <charset val="134"/>
          </rPr>
          <t>[HEADER] REAL TIME DATA MAPPING.
COLUMN {{Week5_Actual}} : Week5_Actual.
NAMED RANGE: Weely_C21_M21.</t>
        </r>
      </text>
    </comment>
    <comment ref="C22" authorId="0" shapeId="0">
      <text>
        <r>
          <rPr>
            <b/>
            <sz val="8"/>
            <rFont val="Tahoma"/>
            <charset val="134"/>
          </rPr>
          <t>[FIRST ROW] REAL TIME DATA MAPPING. COLUMN: {{Comment}} : Comment NAMED RANGE: Weely_C21_M21.</t>
        </r>
      </text>
    </comment>
    <comment ref="D22" authorId="0" shapeId="0">
      <text>
        <r>
          <rPr>
            <b/>
            <sz val="8"/>
            <rFont val="Tahoma"/>
            <charset val="134"/>
          </rPr>
          <t>[FIRST ROW] REAL TIME DATA MAPPING. COLUMN: {{Week1_Target}} : Week1_Target NAMED RANGE: Weely_C21_M21.</t>
        </r>
      </text>
    </comment>
    <comment ref="E22" authorId="0" shapeId="0">
      <text>
        <r>
          <rPr>
            <b/>
            <sz val="8"/>
            <rFont val="Tahoma"/>
            <charset val="134"/>
          </rPr>
          <t>[FIRST ROW] REAL TIME DATA MAPPING. COLUMN: {{Week1_Actual}} : Week1_Actual NAMED RANGE: Weely_C21_M21.</t>
        </r>
      </text>
    </comment>
    <comment ref="F22" authorId="0" shapeId="0">
      <text>
        <r>
          <rPr>
            <b/>
            <sz val="8"/>
            <rFont val="Tahoma"/>
            <charset val="134"/>
          </rPr>
          <t>[FIRST ROW] REAL TIME DATA MAPPING. COLUMN: {{Week2_Target}} : Week2_Target NAMED RANGE: Weely_C21_M21.</t>
        </r>
      </text>
    </comment>
    <comment ref="G22" authorId="0" shapeId="0">
      <text>
        <r>
          <rPr>
            <b/>
            <sz val="8"/>
            <rFont val="Tahoma"/>
            <charset val="134"/>
          </rPr>
          <t>[FIRST ROW] REAL TIME DATA MAPPING. COLUMN: {{Week2_Actual}} : Week2_Actual NAMED RANGE: Weely_C21_M21.</t>
        </r>
      </text>
    </comment>
    <comment ref="H22" authorId="0" shapeId="0">
      <text>
        <r>
          <rPr>
            <b/>
            <sz val="8"/>
            <rFont val="Tahoma"/>
            <charset val="134"/>
          </rPr>
          <t>[FIRST ROW] REAL TIME DATA MAPPING. COLUMN: {{Week3_Target}} : Week3_Target NAMED RANGE: Weely_C21_M21.</t>
        </r>
      </text>
    </comment>
    <comment ref="I22" authorId="0" shapeId="0">
      <text>
        <r>
          <rPr>
            <b/>
            <sz val="8"/>
            <rFont val="Tahoma"/>
            <charset val="134"/>
          </rPr>
          <t>[FIRST ROW] REAL TIME DATA MAPPING. COLUMN: {{Week3_Actual}} : Week3_Actual NAMED RANGE: Weely_C21_M21.</t>
        </r>
      </text>
    </comment>
    <comment ref="J22" authorId="0" shapeId="0">
      <text>
        <r>
          <rPr>
            <b/>
            <sz val="8"/>
            <rFont val="Tahoma"/>
            <charset val="134"/>
          </rPr>
          <t>[FIRST ROW] REAL TIME DATA MAPPING. COLUMN: {{Week4_Target}} : Week4_Target NAMED RANGE: Weely_C21_M21.</t>
        </r>
      </text>
    </comment>
    <comment ref="K22" authorId="0" shapeId="0">
      <text>
        <r>
          <rPr>
            <b/>
            <sz val="8"/>
            <rFont val="Tahoma"/>
            <charset val="134"/>
          </rPr>
          <t>[FIRST ROW] REAL TIME DATA MAPPING. COLUMN: {{Week4_Actual}} : Week4_Actual NAMED RANGE: Weely_C21_M21.</t>
        </r>
      </text>
    </comment>
    <comment ref="L22" authorId="0" shapeId="0">
      <text>
        <r>
          <rPr>
            <b/>
            <sz val="8"/>
            <rFont val="Tahoma"/>
            <charset val="134"/>
          </rPr>
          <t>[FIRST ROW] REAL TIME DATA MAPPING. COLUMN: {{Week5_Target}} : Week5_Target NAMED RANGE: Weely_C21_M21.</t>
        </r>
      </text>
    </comment>
    <comment ref="M22" authorId="0" shapeId="0">
      <text>
        <r>
          <rPr>
            <b/>
            <sz val="8"/>
            <rFont val="Tahoma"/>
            <charset val="134"/>
          </rPr>
          <t>[FIRST ROW] REAL TIME DATA MAPPING. COLUMN: {{Week5_Actual}} : Week5_Actual NAMED RANGE: Weely_C21_M21.</t>
        </r>
      </text>
    </comment>
    <comment ref="C31" authorId="0" shapeId="0">
      <text>
        <r>
          <rPr>
            <b/>
            <sz val="8"/>
            <rFont val="Tahoma"/>
            <charset val="134"/>
          </rPr>
          <t>[HEADER] REAL TIME DATA MAPPING.
COLUMN {{Comment}} : Comment.
NAMED RANGE: Weely_C31_M31.</t>
        </r>
      </text>
    </comment>
    <comment ref="D31" authorId="0" shapeId="0">
      <text>
        <r>
          <rPr>
            <b/>
            <sz val="8"/>
            <rFont val="Tahoma"/>
            <charset val="134"/>
          </rPr>
          <t>[HEADER] REAL TIME DATA MAPPING.
COLUMN {{Week1_Target}} : Week1_Target.
NAMED RANGE: Weely_C31_M31.</t>
        </r>
      </text>
    </comment>
    <comment ref="E31" authorId="0" shapeId="0">
      <text>
        <r>
          <rPr>
            <b/>
            <sz val="8"/>
            <rFont val="Tahoma"/>
            <charset val="134"/>
          </rPr>
          <t>[HEADER] REAL TIME DATA MAPPING.
COLUMN {{Week1_Actual}} : Week1_Actual.
NAMED RANGE: Weely_C31_M31.</t>
        </r>
      </text>
    </comment>
    <comment ref="F31" authorId="0" shapeId="0">
      <text>
        <r>
          <rPr>
            <b/>
            <sz val="8"/>
            <rFont val="Tahoma"/>
            <charset val="134"/>
          </rPr>
          <t>[HEADER] REAL TIME DATA MAPPING.
COLUMN {{Week2_Target}} : Week2_Target.
NAMED RANGE: Weely_C31_M31.</t>
        </r>
      </text>
    </comment>
    <comment ref="G31" authorId="0" shapeId="0">
      <text>
        <r>
          <rPr>
            <b/>
            <sz val="8"/>
            <rFont val="Tahoma"/>
            <charset val="134"/>
          </rPr>
          <t>[HEADER] REAL TIME DATA MAPPING.
COLUMN {{Week2_Actual}} : Week2_Actual.
NAMED RANGE: Weely_C31_M31.</t>
        </r>
      </text>
    </comment>
    <comment ref="H31" authorId="0" shapeId="0">
      <text>
        <r>
          <rPr>
            <b/>
            <sz val="8"/>
            <rFont val="Tahoma"/>
            <charset val="134"/>
          </rPr>
          <t>[HEADER] REAL TIME DATA MAPPING.
COLUMN {{Week3_Target}} : Week3_Target.
NAMED RANGE: Weely_C31_M31.</t>
        </r>
      </text>
    </comment>
    <comment ref="I31" authorId="0" shapeId="0">
      <text>
        <r>
          <rPr>
            <b/>
            <sz val="8"/>
            <rFont val="Tahoma"/>
            <charset val="134"/>
          </rPr>
          <t>[HEADER] REAL TIME DATA MAPPING.
COLUMN {{Week3_Actual}} : Week3_Actual.
NAMED RANGE: Weely_C31_M31.</t>
        </r>
      </text>
    </comment>
    <comment ref="J31" authorId="0" shapeId="0">
      <text>
        <r>
          <rPr>
            <b/>
            <sz val="8"/>
            <rFont val="Tahoma"/>
            <charset val="134"/>
          </rPr>
          <t>[HEADER] REAL TIME DATA MAPPING.
COLUMN {{Week4_Target}} : Week4_Target.
NAMED RANGE: Weely_C31_M31.</t>
        </r>
      </text>
    </comment>
    <comment ref="K31" authorId="0" shapeId="0">
      <text>
        <r>
          <rPr>
            <b/>
            <sz val="8"/>
            <rFont val="Tahoma"/>
            <charset val="134"/>
          </rPr>
          <t>[HEADER] REAL TIME DATA MAPPING.
COLUMN {{Week4_Actual}} : Week4_Actual.
NAMED RANGE: Weely_C31_M31.</t>
        </r>
      </text>
    </comment>
    <comment ref="L31" authorId="0" shapeId="0">
      <text>
        <r>
          <rPr>
            <b/>
            <sz val="8"/>
            <rFont val="Tahoma"/>
            <charset val="134"/>
          </rPr>
          <t>[HEADER] REAL TIME DATA MAPPING.
COLUMN {{Week5_Target}} : Week5_Target.
NAMED RANGE: Weely_C31_M31.</t>
        </r>
      </text>
    </comment>
    <comment ref="M31" authorId="0" shapeId="0">
      <text>
        <r>
          <rPr>
            <b/>
            <sz val="8"/>
            <rFont val="Tahoma"/>
            <charset val="134"/>
          </rPr>
          <t>[HEADER] REAL TIME DATA MAPPING.
COLUMN {{Week5_Actual}} : Week5_Actual.
NAMED RANGE: Weely_C31_M31.</t>
        </r>
      </text>
    </comment>
    <comment ref="C32" authorId="0" shapeId="0">
      <text>
        <r>
          <rPr>
            <b/>
            <sz val="8"/>
            <rFont val="Tahoma"/>
            <charset val="134"/>
          </rPr>
          <t>[FIRST ROW] REAL TIME DATA MAPPING. COLUMN: {{Comment}} : Comment NAMED RANGE: Weely_C31_M31.</t>
        </r>
      </text>
    </comment>
    <comment ref="D32" authorId="0" shapeId="0">
      <text>
        <r>
          <rPr>
            <b/>
            <sz val="8"/>
            <rFont val="Tahoma"/>
            <charset val="134"/>
          </rPr>
          <t>[FIRST ROW] REAL TIME DATA MAPPING. COLUMN: {{Week1_Target}} : Week1_Target NAMED RANGE: Weely_C31_M31.</t>
        </r>
      </text>
    </comment>
    <comment ref="E32" authorId="0" shapeId="0">
      <text>
        <r>
          <rPr>
            <b/>
            <sz val="8"/>
            <rFont val="Tahoma"/>
            <charset val="134"/>
          </rPr>
          <t>[FIRST ROW] REAL TIME DATA MAPPING. COLUMN: {{Week1_Actual}} : Week1_Actual NAMED RANGE: Weely_C31_M31.</t>
        </r>
      </text>
    </comment>
    <comment ref="F32" authorId="0" shapeId="0">
      <text>
        <r>
          <rPr>
            <b/>
            <sz val="8"/>
            <rFont val="Tahoma"/>
            <charset val="134"/>
          </rPr>
          <t>[FIRST ROW] REAL TIME DATA MAPPING. COLUMN: {{Week2_Target}} : Week2_Target NAMED RANGE: Weely_C31_M31.</t>
        </r>
      </text>
    </comment>
    <comment ref="G32" authorId="0" shapeId="0">
      <text>
        <r>
          <rPr>
            <b/>
            <sz val="8"/>
            <rFont val="Tahoma"/>
            <charset val="134"/>
          </rPr>
          <t>[FIRST ROW] REAL TIME DATA MAPPING. COLUMN: {{Week2_Actual}} : Week2_Actual NAMED RANGE: Weely_C31_M31.</t>
        </r>
      </text>
    </comment>
    <comment ref="H32" authorId="0" shapeId="0">
      <text>
        <r>
          <rPr>
            <b/>
            <sz val="8"/>
            <rFont val="Tahoma"/>
            <charset val="134"/>
          </rPr>
          <t>[FIRST ROW] REAL TIME DATA MAPPING. COLUMN: {{Week3_Target}} : Week3_Target NAMED RANGE: Weely_C31_M31.</t>
        </r>
      </text>
    </comment>
    <comment ref="I32" authorId="0" shapeId="0">
      <text>
        <r>
          <rPr>
            <b/>
            <sz val="8"/>
            <rFont val="Tahoma"/>
            <charset val="134"/>
          </rPr>
          <t>[FIRST ROW] REAL TIME DATA MAPPING. COLUMN: {{Week3_Actual}} : Week3_Actual NAMED RANGE: Weely_C31_M31.</t>
        </r>
      </text>
    </comment>
    <comment ref="J32" authorId="0" shapeId="0">
      <text>
        <r>
          <rPr>
            <b/>
            <sz val="8"/>
            <rFont val="Tahoma"/>
            <charset val="134"/>
          </rPr>
          <t>[FIRST ROW] REAL TIME DATA MAPPING. COLUMN: {{Week4_Target}} : Week4_Target NAMED RANGE: Weely_C31_M31.</t>
        </r>
      </text>
    </comment>
    <comment ref="K32" authorId="0" shapeId="0">
      <text>
        <r>
          <rPr>
            <b/>
            <sz val="8"/>
            <rFont val="Tahoma"/>
            <charset val="134"/>
          </rPr>
          <t>[FIRST ROW] REAL TIME DATA MAPPING. COLUMN: {{Week4_Actual}} : Week4_Actual NAMED RANGE: Weely_C31_M31.</t>
        </r>
      </text>
    </comment>
    <comment ref="L32" authorId="0" shapeId="0">
      <text>
        <r>
          <rPr>
            <b/>
            <sz val="8"/>
            <rFont val="Tahoma"/>
            <charset val="134"/>
          </rPr>
          <t>[FIRST ROW] REAL TIME DATA MAPPING. COLUMN: {{Week5_Target}} : Week5_Target NAMED RANGE: Weely_C31_M31.</t>
        </r>
      </text>
    </comment>
    <comment ref="M32" authorId="0" shapeId="0">
      <text>
        <r>
          <rPr>
            <b/>
            <sz val="8"/>
            <rFont val="Tahoma"/>
            <charset val="134"/>
          </rPr>
          <t>[FIRST ROW] REAL TIME DATA MAPPING. COLUMN: {{Week5_Actual}} : Week5_Actual NAMED RANGE: Weely_C31_M31.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{{Month}} : Month.
NAMED RANGE: Monthly_C2_F2.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{{MonthlyTarget}} : MonthlyTarget.
NAMED RANGE: Monthly_C2_F2.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Monthly_C2_F2.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Monthly_C2_F2.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{{Month}} : Month NAMED RANGE: Monthly_C2_F2.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{{MonthlyTarget}} : MonthlyTarget NAMED RANGE: Monthly_C2_F2.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Monthly_C2_F2.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Monthly_C2_F2.</t>
        </r>
      </text>
    </comment>
    <comment ref="C11" authorId="0" shapeId="0">
      <text>
        <r>
          <rPr>
            <b/>
            <sz val="8"/>
            <rFont val="Tahoma"/>
            <charset val="134"/>
          </rPr>
          <t>[HEADER] REAL TIME DATA MAPPING.
COLUMN {{Month}} : Month.
NAMED RANGE: Monthly_C11_F11.</t>
        </r>
      </text>
    </comment>
    <comment ref="D11" authorId="0" shapeId="0">
      <text>
        <r>
          <rPr>
            <b/>
            <sz val="8"/>
            <rFont val="Tahoma"/>
            <charset val="134"/>
          </rPr>
          <t>[HEADER] REAL TIME DATA MAPPING.
COLUMN {{MonthlyTarget}} : MonthlyTarget.
NAMED RANGE: Monthly_C11_F11.</t>
        </r>
      </text>
    </comment>
    <comment ref="E1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Monthly_C11_F11.</t>
        </r>
      </text>
    </comment>
    <comment ref="F1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Monthly_C11_F11.</t>
        </r>
      </text>
    </comment>
    <comment ref="C12" authorId="0" shapeId="0">
      <text>
        <r>
          <rPr>
            <b/>
            <sz val="8"/>
            <rFont val="Tahoma"/>
            <charset val="134"/>
          </rPr>
          <t>[FIRST ROW] REAL TIME DATA MAPPING. COLUMN: {{Month}} : Month NAMED RANGE: Monthly_C11_F11.</t>
        </r>
      </text>
    </comment>
    <comment ref="D12" authorId="0" shapeId="0">
      <text>
        <r>
          <rPr>
            <b/>
            <sz val="8"/>
            <rFont val="Tahoma"/>
            <charset val="134"/>
          </rPr>
          <t>[FIRST ROW] REAL TIME DATA MAPPING. COLUMN: {{MonthlyTarget}} : MonthlyTarget NAMED RANGE: Monthly_C11_F11.</t>
        </r>
      </text>
    </comment>
    <comment ref="E1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Monthly_C11_F11.</t>
        </r>
      </text>
    </comment>
    <comment ref="F1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Monthly_C11_F11.</t>
        </r>
      </text>
    </comment>
    <comment ref="C21" authorId="0" shapeId="0">
      <text>
        <r>
          <rPr>
            <b/>
            <sz val="8"/>
            <rFont val="Tahoma"/>
            <charset val="134"/>
          </rPr>
          <t>[HEADER] REAL TIME DATA MAPPING.
COLUMN {{Month}} : Month.
NAMED RANGE: Monthly_C21_F21.</t>
        </r>
      </text>
    </comment>
    <comment ref="D21" authorId="0" shapeId="0">
      <text>
        <r>
          <rPr>
            <b/>
            <sz val="8"/>
            <rFont val="Tahoma"/>
            <charset val="134"/>
          </rPr>
          <t>[HEADER] REAL TIME DATA MAPPING.
COLUMN {{MonthlyTarget}} : MonthlyTarget.
NAMED RANGE: Monthly_C21_F21.</t>
        </r>
      </text>
    </comment>
    <comment ref="E2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Monthly_C21_F21.</t>
        </r>
      </text>
    </comment>
    <comment ref="F2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Monthly_C21_F21.</t>
        </r>
      </text>
    </comment>
    <comment ref="C22" authorId="0" shapeId="0">
      <text>
        <r>
          <rPr>
            <b/>
            <sz val="8"/>
            <rFont val="Tahoma"/>
            <charset val="134"/>
          </rPr>
          <t>[FIRST ROW] REAL TIME DATA MAPPING. COLUMN: {{Month}} : Month NAMED RANGE: Monthly_C21_F21.</t>
        </r>
      </text>
    </comment>
    <comment ref="D22" authorId="0" shapeId="0">
      <text>
        <r>
          <rPr>
            <b/>
            <sz val="8"/>
            <rFont val="Tahoma"/>
            <charset val="134"/>
          </rPr>
          <t>[FIRST ROW] REAL TIME DATA MAPPING. COLUMN: {{MonthlyTarget}} : MonthlyTarget NAMED RANGE: Monthly_C21_F21.</t>
        </r>
      </text>
    </comment>
    <comment ref="E2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Monthly_C21_F21.</t>
        </r>
      </text>
    </comment>
    <comment ref="F2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Monthly_C21_F21.</t>
        </r>
      </text>
    </comment>
    <comment ref="C31" authorId="0" shapeId="0">
      <text>
        <r>
          <rPr>
            <b/>
            <sz val="8"/>
            <rFont val="Tahoma"/>
            <charset val="134"/>
          </rPr>
          <t>[HEADER] REAL TIME DATA MAPPING.
COLUMN {{Month}} : Month.
NAMED RANGE: Monthly_C31_F31.</t>
        </r>
      </text>
    </comment>
    <comment ref="D31" authorId="0" shapeId="0">
      <text>
        <r>
          <rPr>
            <b/>
            <sz val="8"/>
            <rFont val="Tahoma"/>
            <charset val="134"/>
          </rPr>
          <t>[HEADER] REAL TIME DATA MAPPING.
COLUMN {{MonthlyTarget}} : MonthlyTarget.
NAMED RANGE: Monthly_C31_F31.</t>
        </r>
      </text>
    </comment>
    <comment ref="E3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Monthly_C31_F31.</t>
        </r>
      </text>
    </comment>
    <comment ref="F3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Monthly_C31_F31.</t>
        </r>
      </text>
    </comment>
    <comment ref="C32" authorId="0" shapeId="0">
      <text>
        <r>
          <rPr>
            <b/>
            <sz val="8"/>
            <rFont val="Tahoma"/>
            <charset val="134"/>
          </rPr>
          <t>[FIRST ROW] REAL TIME DATA MAPPING. COLUMN: {{Month}} : Month NAMED RANGE: Monthly_C31_F31.</t>
        </r>
      </text>
    </comment>
    <comment ref="D32" authorId="0" shapeId="0">
      <text>
        <r>
          <rPr>
            <b/>
            <sz val="8"/>
            <rFont val="Tahoma"/>
            <charset val="134"/>
          </rPr>
          <t>[FIRST ROW] REAL TIME DATA MAPPING. COLUMN: {{MonthlyTarget}} : MonthlyTarget NAMED RANGE: Monthly_C31_F31.</t>
        </r>
      </text>
    </comment>
    <comment ref="E3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Monthly_C31_F31.</t>
        </r>
      </text>
    </comment>
    <comment ref="F3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Monthly_C31_F31.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{{MonthToDate}} : MonthToDate.
NAMED RANGE: MTD_C2_F2.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{{MTD_Target}} : MTD_Target.
NAMED RANGE: MTD_C2_F2.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{{MTD_Records}} : MTD_Records.
NAMED RANGE: MTD_C2_F2.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MTD_C2_F2.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{{MonthToDate}} : MonthToDate NAMED RANGE: MTD_C2_F2.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{{MTD_Target}} : MTD_Target NAMED RANGE: MTD_C2_F2.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{{MTD_Records}} : MTD_Records NAMED RANGE: MTD_C2_F2.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MTD_C2_F2.</t>
        </r>
      </text>
    </comment>
    <comment ref="C11" authorId="0" shapeId="0">
      <text>
        <r>
          <rPr>
            <b/>
            <sz val="8"/>
            <rFont val="Tahoma"/>
            <charset val="134"/>
          </rPr>
          <t>[HEADER] REAL TIME DATA MAPPING.
COLUMN {{MonthToDate}} : MonthToDate.
NAMED RANGE: MTD_C11_F11.</t>
        </r>
      </text>
    </comment>
    <comment ref="D11" authorId="0" shapeId="0">
      <text>
        <r>
          <rPr>
            <b/>
            <sz val="8"/>
            <rFont val="Tahoma"/>
            <charset val="134"/>
          </rPr>
          <t>[HEADER] REAL TIME DATA MAPPING.
COLUMN {{MTD_Target}} : MTD_Target.
NAMED RANGE: MTD_C11_F11.</t>
        </r>
      </text>
    </comment>
    <comment ref="E11" authorId="0" shapeId="0">
      <text>
        <r>
          <rPr>
            <b/>
            <sz val="8"/>
            <rFont val="Tahoma"/>
            <charset val="134"/>
          </rPr>
          <t>[HEADER] REAL TIME DATA MAPPING.
COLUMN {{MTD_Records}} : MTD_Records.
NAMED RANGE: MTD_C11_F11.</t>
        </r>
      </text>
    </comment>
    <comment ref="F1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MTD_C11_F11.</t>
        </r>
      </text>
    </comment>
    <comment ref="C12" authorId="0" shapeId="0">
      <text>
        <r>
          <rPr>
            <b/>
            <sz val="8"/>
            <rFont val="Tahoma"/>
            <charset val="134"/>
          </rPr>
          <t>[FIRST ROW] REAL TIME DATA MAPPING. COLUMN: {{MonthToDate}} : MonthToDate NAMED RANGE: MTD_C11_F11.</t>
        </r>
      </text>
    </comment>
    <comment ref="D12" authorId="0" shapeId="0">
      <text>
        <r>
          <rPr>
            <b/>
            <sz val="8"/>
            <rFont val="Tahoma"/>
            <charset val="134"/>
          </rPr>
          <t>[FIRST ROW] REAL TIME DATA MAPPING. COLUMN: {{MTD_Target}} : MTD_Target NAMED RANGE: MTD_C11_F11.</t>
        </r>
      </text>
    </comment>
    <comment ref="E12" authorId="0" shapeId="0">
      <text>
        <r>
          <rPr>
            <b/>
            <sz val="8"/>
            <rFont val="Tahoma"/>
            <charset val="134"/>
          </rPr>
          <t>[FIRST ROW] REAL TIME DATA MAPPING. COLUMN: {{MTD_Records}} : MTD_Records NAMED RANGE: MTD_C11_F11.</t>
        </r>
      </text>
    </comment>
    <comment ref="F1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MTD_C11_F11.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{{YearToDate}} : YearToDate.
NAMED RANGE: YTD_C2_F2.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{{YTD_Target}} : YTD_Target.
NAMED RANGE: YTD_C2_F2.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{{YTD_Records}} : YTD_Records.
NAMED RANGE: YTD_C2_F2.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YTD_C2_F2.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{{YearToDate}} : YearToDate NAMED RANGE: YTD_C2_F2.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{{YTD_Target}} : YTD_Target NAMED RANGE: YTD_C2_F2.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{{YTD_Records}} : YTD_Records NAMED RANGE: YTD_C2_F2.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YTD_C2_F2.</t>
        </r>
      </text>
    </comment>
    <comment ref="C11" authorId="0" shapeId="0">
      <text>
        <r>
          <rPr>
            <b/>
            <sz val="8"/>
            <rFont val="Tahoma"/>
            <charset val="134"/>
          </rPr>
          <t>[HEADER] REAL TIME DATA MAPPING.
COLUMN {{YearToDate}} : YearToDate.
NAMED RANGE: YTD_C11_F11.</t>
        </r>
      </text>
    </comment>
    <comment ref="D11" authorId="0" shapeId="0">
      <text>
        <r>
          <rPr>
            <b/>
            <sz val="8"/>
            <rFont val="Tahoma"/>
            <charset val="134"/>
          </rPr>
          <t>[HEADER] REAL TIME DATA MAPPING.
COLUMN {{YTD_Target}} : YTD_Target.
NAMED RANGE: YTD_C11_F11.</t>
        </r>
      </text>
    </comment>
    <comment ref="E11" authorId="0" shapeId="0">
      <text>
        <r>
          <rPr>
            <b/>
            <sz val="8"/>
            <rFont val="Tahoma"/>
            <charset val="134"/>
          </rPr>
          <t>[HEADER] REAL TIME DATA MAPPING.
COLUMN {{YTD_Records}} : YTD_Records.
NAMED RANGE: YTD_C11_F11.</t>
        </r>
      </text>
    </comment>
    <comment ref="F1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YTD_C11_F11.</t>
        </r>
      </text>
    </comment>
    <comment ref="C12" authorId="0" shapeId="0">
      <text>
        <r>
          <rPr>
            <b/>
            <sz val="8"/>
            <rFont val="Tahoma"/>
            <charset val="134"/>
          </rPr>
          <t>[FIRST ROW] REAL TIME DATA MAPPING. COLUMN: {{YearToDate}} : YearToDate NAMED RANGE: YTD_C11_F11.</t>
        </r>
      </text>
    </comment>
    <comment ref="D12" authorId="0" shapeId="0">
      <text>
        <r>
          <rPr>
            <b/>
            <sz val="8"/>
            <rFont val="Tahoma"/>
            <charset val="134"/>
          </rPr>
          <t>[FIRST ROW] REAL TIME DATA MAPPING. COLUMN: {{YTD_Target}} : YTD_Target NAMED RANGE: YTD_C11_F11.</t>
        </r>
      </text>
    </comment>
    <comment ref="E12" authorId="0" shapeId="0">
      <text>
        <r>
          <rPr>
            <b/>
            <sz val="8"/>
            <rFont val="Tahoma"/>
            <charset val="134"/>
          </rPr>
          <t>[FIRST ROW] REAL TIME DATA MAPPING. COLUMN: {{YTD_Records}} : YTD_Records NAMED RANGE: YTD_C11_F11.</t>
        </r>
      </text>
    </comment>
    <comment ref="F1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YTD_C11_F11.</t>
        </r>
      </text>
    </comment>
    <comment ref="C21" authorId="0" shapeId="0">
      <text>
        <r>
          <rPr>
            <b/>
            <sz val="8"/>
            <rFont val="Tahoma"/>
            <charset val="134"/>
          </rPr>
          <t>[HEADER] REAL TIME DATA MAPPING.
COLUMN {{YearToDate}} : YearToDate.
NAMED RANGE: YTD_C21_F21.</t>
        </r>
      </text>
    </comment>
    <comment ref="D21" authorId="0" shapeId="0">
      <text>
        <r>
          <rPr>
            <b/>
            <sz val="8"/>
            <rFont val="Tahoma"/>
            <charset val="134"/>
          </rPr>
          <t>[HEADER] REAL TIME DATA MAPPING.
COLUMN {{YTD_Target}} : YTD_Target.
NAMED RANGE: YTD_C21_F21.</t>
        </r>
      </text>
    </comment>
    <comment ref="E21" authorId="0" shapeId="0">
      <text>
        <r>
          <rPr>
            <b/>
            <sz val="8"/>
            <rFont val="Tahoma"/>
            <charset val="134"/>
          </rPr>
          <t>[HEADER] REAL TIME DATA MAPPING.
COLUMN {{YTD_Records}} : YTD_Records.
NAMED RANGE: YTD_C21_F21.</t>
        </r>
      </text>
    </comment>
    <comment ref="F2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YTD_C21_F21.</t>
        </r>
      </text>
    </comment>
    <comment ref="C22" authorId="0" shapeId="0">
      <text>
        <r>
          <rPr>
            <b/>
            <sz val="8"/>
            <rFont val="Tahoma"/>
            <charset val="134"/>
          </rPr>
          <t>[FIRST ROW] REAL TIME DATA MAPPING. COLUMN: {{YearToDate}} : YearToDate NAMED RANGE: YTD_C21_F21.</t>
        </r>
      </text>
    </comment>
    <comment ref="D22" authorId="0" shapeId="0">
      <text>
        <r>
          <rPr>
            <b/>
            <sz val="8"/>
            <rFont val="Tahoma"/>
            <charset val="134"/>
          </rPr>
          <t>[FIRST ROW] REAL TIME DATA MAPPING. COLUMN: {{YTD_Target}} : YTD_Target NAMED RANGE: YTD_C21_F21.</t>
        </r>
      </text>
    </comment>
    <comment ref="E22" authorId="0" shapeId="0">
      <text>
        <r>
          <rPr>
            <b/>
            <sz val="8"/>
            <rFont val="Tahoma"/>
            <charset val="134"/>
          </rPr>
          <t>[FIRST ROW] REAL TIME DATA MAPPING. COLUMN: {{YTD_Records}} : YTD_Records NAMED RANGE: YTD_C21_F21.</t>
        </r>
      </text>
    </comment>
    <comment ref="F2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YTD_C21_F21.</t>
        </r>
      </text>
    </comment>
    <comment ref="C31" authorId="0" shapeId="0">
      <text>
        <r>
          <rPr>
            <b/>
            <sz val="8"/>
            <rFont val="Tahoma"/>
            <charset val="134"/>
          </rPr>
          <t>[HEADER] REAL TIME DATA MAPPING.
COLUMN {{YearToDate}} : YearToDate.
NAMED RANGE: YTD_C31_F31.</t>
        </r>
      </text>
    </comment>
    <comment ref="D31" authorId="0" shapeId="0">
      <text>
        <r>
          <rPr>
            <b/>
            <sz val="8"/>
            <rFont val="Tahoma"/>
            <charset val="134"/>
          </rPr>
          <t>[HEADER] REAL TIME DATA MAPPING.
COLUMN {{YTD_Target}} : YTD_Target.
NAMED RANGE: YTD_C31_F31.</t>
        </r>
      </text>
    </comment>
    <comment ref="E31" authorId="0" shapeId="0">
      <text>
        <r>
          <rPr>
            <b/>
            <sz val="8"/>
            <rFont val="Tahoma"/>
            <charset val="134"/>
          </rPr>
          <t>[HEADER] REAL TIME DATA MAPPING.
COLUMN {{YTD_Records}} : YTD_Records.
NAMED RANGE: YTD_C31_F31.</t>
        </r>
      </text>
    </comment>
    <comment ref="F3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YTD_C31_F31.</t>
        </r>
      </text>
    </comment>
    <comment ref="C32" authorId="0" shapeId="0">
      <text>
        <r>
          <rPr>
            <b/>
            <sz val="8"/>
            <rFont val="Tahoma"/>
            <charset val="134"/>
          </rPr>
          <t>[FIRST ROW] REAL TIME DATA MAPPING. COLUMN: {{YearToDate}} : YearToDate NAMED RANGE: YTD_C31_F31.</t>
        </r>
      </text>
    </comment>
    <comment ref="D32" authorId="0" shapeId="0">
      <text>
        <r>
          <rPr>
            <b/>
            <sz val="8"/>
            <rFont val="Tahoma"/>
            <charset val="134"/>
          </rPr>
          <t>[FIRST ROW] REAL TIME DATA MAPPING. COLUMN: {{YTD_Target}} : YTD_Target NAMED RANGE: YTD_C31_F31.</t>
        </r>
      </text>
    </comment>
    <comment ref="E32" authorId="0" shapeId="0">
      <text>
        <r>
          <rPr>
            <b/>
            <sz val="8"/>
            <rFont val="Tahoma"/>
            <charset val="134"/>
          </rPr>
          <t>[FIRST ROW] REAL TIME DATA MAPPING. COLUMN: {{YTD_Records}} : YTD_Records NAMED RANGE: YTD_C31_F31.</t>
        </r>
      </text>
    </comment>
    <comment ref="F3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YTD_C31_F31.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C2" authorId="0" shapeId="0">
      <text>
        <r>
          <rPr>
            <b/>
            <sz val="8"/>
            <rFont val="Tahoma"/>
            <charset val="134"/>
          </rPr>
          <t>[HEADER] REAL TIME DATA MAPPING.
COLUMN {{FinancialYear}} : FinancialYear.
NAMED RANGE: PrevFY_C2_F2.</t>
        </r>
      </text>
    </comment>
    <comment ref="D2" authorId="0" shapeId="0">
      <text>
        <r>
          <rPr>
            <b/>
            <sz val="8"/>
            <rFont val="Tahoma"/>
            <charset val="134"/>
          </rPr>
          <t>[HEADER] REAL TIME DATA MAPPING.
COLUMN {{TotalTarget}} : TotalTarget.
NAMED RANGE: PrevFY_C2_F2.</t>
        </r>
      </text>
    </comment>
    <comment ref="E2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PrevFY_C2_F2.</t>
        </r>
      </text>
    </comment>
    <comment ref="F2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PrevFY_C2_F2.</t>
        </r>
      </text>
    </comment>
    <comment ref="C3" authorId="0" shapeId="0">
      <text>
        <r>
          <rPr>
            <b/>
            <sz val="8"/>
            <rFont val="Tahoma"/>
            <charset val="134"/>
          </rPr>
          <t>[FIRST ROW] REAL TIME DATA MAPPING. COLUMN: {{FinancialYear}} : FinancialYear NAMED RANGE: PrevFY_C2_F2.</t>
        </r>
      </text>
    </comment>
    <comment ref="D3" authorId="0" shapeId="0">
      <text>
        <r>
          <rPr>
            <b/>
            <sz val="8"/>
            <rFont val="Tahoma"/>
            <charset val="134"/>
          </rPr>
          <t>[FIRST ROW] REAL TIME DATA MAPPING. COLUMN: {{TotalTarget}} : TotalTarget NAMED RANGE: PrevFY_C2_F2.</t>
        </r>
      </text>
    </comment>
    <comment ref="E3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PrevFY_C2_F2.</t>
        </r>
      </text>
    </comment>
    <comment ref="F3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PrevFY_C2_F2.</t>
        </r>
      </text>
    </comment>
    <comment ref="C11" authorId="0" shapeId="0">
      <text>
        <r>
          <rPr>
            <b/>
            <sz val="8"/>
            <rFont val="Tahoma"/>
            <charset val="134"/>
          </rPr>
          <t>[HEADER] REAL TIME DATA MAPPING.
COLUMN {{FinancialYear}} : FinancialYear.
NAMED RANGE: PrevFY_C11_F11.</t>
        </r>
      </text>
    </comment>
    <comment ref="D11" authorId="0" shapeId="0">
      <text>
        <r>
          <rPr>
            <b/>
            <sz val="8"/>
            <rFont val="Tahoma"/>
            <charset val="134"/>
          </rPr>
          <t>[HEADER] REAL TIME DATA MAPPING.
COLUMN {{TotalTarget}} : TotalTarget.
NAMED RANGE: PrevFY_C11_F11.</t>
        </r>
      </text>
    </comment>
    <comment ref="E1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PrevFY_C11_F11.</t>
        </r>
      </text>
    </comment>
    <comment ref="F1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PrevFY_C11_F11.</t>
        </r>
      </text>
    </comment>
    <comment ref="C12" authorId="0" shapeId="0">
      <text>
        <r>
          <rPr>
            <b/>
            <sz val="8"/>
            <rFont val="Tahoma"/>
            <charset val="134"/>
          </rPr>
          <t>[FIRST ROW] REAL TIME DATA MAPPING. COLUMN: {{FinancialYear}} : FinancialYear NAMED RANGE: PrevFY_C11_F11.</t>
        </r>
      </text>
    </comment>
    <comment ref="D12" authorId="0" shapeId="0">
      <text>
        <r>
          <rPr>
            <b/>
            <sz val="8"/>
            <rFont val="Tahoma"/>
            <charset val="134"/>
          </rPr>
          <t>[FIRST ROW] REAL TIME DATA MAPPING. COLUMN: {{TotalTarget}} : TotalTarget NAMED RANGE: PrevFY_C11_F11.</t>
        </r>
      </text>
    </comment>
    <comment ref="E1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PrevFY_C11_F11.</t>
        </r>
      </text>
    </comment>
    <comment ref="F1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PrevFY_C11_F11.</t>
        </r>
      </text>
    </comment>
    <comment ref="C21" authorId="0" shapeId="0">
      <text>
        <r>
          <rPr>
            <b/>
            <sz val="8"/>
            <rFont val="Tahoma"/>
            <charset val="134"/>
          </rPr>
          <t>[HEADER] REAL TIME DATA MAPPING.
COLUMN {{FinancialYear}} : FinancialYear.
NAMED RANGE: PrevFY_C21_F21.</t>
        </r>
      </text>
    </comment>
    <comment ref="D21" authorId="0" shapeId="0">
      <text>
        <r>
          <rPr>
            <b/>
            <sz val="8"/>
            <rFont val="Tahoma"/>
            <charset val="134"/>
          </rPr>
          <t>[HEADER] REAL TIME DATA MAPPING.
COLUMN {{TotalTarget}} : TotalTarget.
NAMED RANGE: PrevFY_C21_F21.</t>
        </r>
      </text>
    </comment>
    <comment ref="E2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PrevFY_C21_F21.</t>
        </r>
      </text>
    </comment>
    <comment ref="F2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PrevFY_C21_F21.</t>
        </r>
      </text>
    </comment>
    <comment ref="C22" authorId="0" shapeId="0">
      <text>
        <r>
          <rPr>
            <b/>
            <sz val="8"/>
            <rFont val="Tahoma"/>
            <charset val="134"/>
          </rPr>
          <t>[FIRST ROW] REAL TIME DATA MAPPING. COLUMN: {{FinancialYear}} : FinancialYear NAMED RANGE: PrevFY_C21_F21.</t>
        </r>
      </text>
    </comment>
    <comment ref="D22" authorId="0" shapeId="0">
      <text>
        <r>
          <rPr>
            <b/>
            <sz val="8"/>
            <rFont val="Tahoma"/>
            <charset val="134"/>
          </rPr>
          <t>[FIRST ROW] REAL TIME DATA MAPPING. COLUMN: {{TotalTarget}} : TotalTarget NAMED RANGE: PrevFY_C21_F21.</t>
        </r>
      </text>
    </comment>
    <comment ref="E2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PrevFY_C21_F21.</t>
        </r>
      </text>
    </comment>
    <comment ref="F2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PrevFY_C21_F21.</t>
        </r>
      </text>
    </comment>
    <comment ref="C31" authorId="0" shapeId="0">
      <text>
        <r>
          <rPr>
            <b/>
            <sz val="8"/>
            <rFont val="Tahoma"/>
            <charset val="134"/>
          </rPr>
          <t>[HEADER] REAL TIME DATA MAPPING.
COLUMN {{FinancialYear}} : FinancialYear.
NAMED RANGE: PrevFY_C31_F31.</t>
        </r>
      </text>
    </comment>
    <comment ref="D31" authorId="0" shapeId="0">
      <text>
        <r>
          <rPr>
            <b/>
            <sz val="8"/>
            <rFont val="Tahoma"/>
            <charset val="134"/>
          </rPr>
          <t>[HEADER] REAL TIME DATA MAPPING.
COLUMN {{TotalTarget}} : TotalTarget.
NAMED RANGE: PrevFY_C31_F31.</t>
        </r>
      </text>
    </comment>
    <comment ref="E31" authorId="0" shapeId="0">
      <text>
        <r>
          <rPr>
            <b/>
            <sz val="8"/>
            <rFont val="Tahoma"/>
            <charset val="134"/>
          </rPr>
          <t>[HEADER] REAL TIME DATA MAPPING.
COLUMN {{TotalRecords}} : TotalRecords.
NAMED RANGE: PrevFY_C31_F31.</t>
        </r>
      </text>
    </comment>
    <comment ref="F31" authorId="0" shapeId="0">
      <text>
        <r>
          <rPr>
            <b/>
            <sz val="8"/>
            <rFont val="Tahoma"/>
            <charset val="134"/>
          </rPr>
          <t>[HEADER] REAL TIME DATA MAPPING.
COLUMN {{Difference}} : Difference.
NAMED RANGE: PrevFY_C31_F31.</t>
        </r>
      </text>
    </comment>
    <comment ref="C32" authorId="0" shapeId="0">
      <text>
        <r>
          <rPr>
            <b/>
            <sz val="8"/>
            <rFont val="Tahoma"/>
            <charset val="134"/>
          </rPr>
          <t>[FIRST ROW] REAL TIME DATA MAPPING. COLUMN: {{FinancialYear}} : FinancialYear NAMED RANGE: PrevFY_C31_F31.</t>
        </r>
      </text>
    </comment>
    <comment ref="D32" authorId="0" shapeId="0">
      <text>
        <r>
          <rPr>
            <b/>
            <sz val="8"/>
            <rFont val="Tahoma"/>
            <charset val="134"/>
          </rPr>
          <t>[FIRST ROW] REAL TIME DATA MAPPING. COLUMN: {{TotalTarget}} : TotalTarget NAMED RANGE: PrevFY_C31_F31.</t>
        </r>
      </text>
    </comment>
    <comment ref="E32" authorId="0" shapeId="0">
      <text>
        <r>
          <rPr>
            <b/>
            <sz val="8"/>
            <rFont val="Tahoma"/>
            <charset val="134"/>
          </rPr>
          <t>[FIRST ROW] REAL TIME DATA MAPPING. COLUMN: {{TotalRecords}} : TotalRecords NAMED RANGE: PrevFY_C31_F31.</t>
        </r>
      </text>
    </comment>
    <comment ref="F32" authorId="0" shapeId="0">
      <text>
        <r>
          <rPr>
            <b/>
            <sz val="8"/>
            <rFont val="Tahoma"/>
            <charset val="134"/>
          </rPr>
          <t>[FIRST ROW] REAL TIME DATA MAPPING. COLUMN: {{Difference}} : Difference NAMED RANGE: PrevFY_C31_F31.</t>
        </r>
      </text>
    </comment>
  </commentList>
</comments>
</file>

<file path=xl/sharedStrings.xml><?xml version="1.0" encoding="utf-8"?>
<sst xmlns="http://schemas.openxmlformats.org/spreadsheetml/2006/main" count="598" uniqueCount="248">
  <si>
    <t>MANAGEMENT PRODUCTION REPORT</t>
  </si>
  <si>
    <t>Month</t>
  </si>
  <si>
    <t>Available Working Days</t>
  </si>
  <si>
    <t>26-05-2026</t>
  </si>
  <si>
    <t>Working Days Left</t>
  </si>
  <si>
    <t>Monthly</t>
  </si>
  <si>
    <t>Weekly</t>
  </si>
  <si>
    <t>Daily</t>
  </si>
  <si>
    <t>MTD</t>
  </si>
  <si>
    <t>YTD</t>
  </si>
  <si>
    <t>FY</t>
  </si>
  <si>
    <t>Week Actual</t>
  </si>
  <si>
    <t>MTD Rollout</t>
  </si>
  <si>
    <t>Plan</t>
  </si>
  <si>
    <t>Act</t>
  </si>
  <si>
    <t>Var</t>
  </si>
  <si>
    <t>W1</t>
  </si>
  <si>
    <t>W2</t>
  </si>
  <si>
    <t>W3</t>
  </si>
  <si>
    <t>W4</t>
  </si>
  <si>
    <t>W5</t>
  </si>
  <si>
    <t>Micky D+3</t>
  </si>
  <si>
    <t>MTD Inventory Status:</t>
  </si>
  <si>
    <t>Sarthi</t>
  </si>
  <si>
    <t>Micky</t>
  </si>
  <si>
    <t>Total</t>
  </si>
  <si>
    <t>Chassis</t>
  </si>
  <si>
    <t>Roll Out</t>
  </si>
  <si>
    <t>BIW</t>
  </si>
  <si>
    <t>Weekly Micky</t>
  </si>
  <si>
    <t>Daily ( Min )</t>
  </si>
  <si>
    <t>No of Minutes Lost</t>
  </si>
  <si>
    <t>Trim</t>
  </si>
  <si>
    <t>BIW Main</t>
  </si>
  <si>
    <t>BIW Sub</t>
  </si>
  <si>
    <t>I-PUMA Main</t>
  </si>
  <si>
    <t>I-PUMA Sub</t>
  </si>
  <si>
    <t>Other</t>
  </si>
  <si>
    <t>M_TCF</t>
  </si>
  <si>
    <t>{{Date}} : Date</t>
  </si>
  <si>
    <t>{{TargetCount}} : TargetCount</t>
  </si>
  <si>
    <t>{{ActualCount}} : ActualCount</t>
  </si>
  <si>
    <t>{{Difference}} : Difference</t>
  </si>
  <si>
    <t>{{total_working_days}} : total_working_days</t>
  </si>
  <si>
    <t>{{working_days_left}} : working_days_left</t>
  </si>
  <si>
    <t>S_TCF</t>
  </si>
  <si>
    <t>M_BIW</t>
  </si>
  <si>
    <t>S_BIW</t>
  </si>
  <si>
    <t>Line Stop Daily</t>
  </si>
  <si>
    <t>{{TypeOfCallText}} : TypeOfCallText</t>
  </si>
  <si>
    <t>{{I-Puma Sub_Minutes}} : I-Puma Sub_Minutes</t>
  </si>
  <si>
    <t>{{I-Puma Main_Minutes}} : I-Puma Main_Minutes</t>
  </si>
  <si>
    <t>{{BIW Sub_Minutes}} : BIW Sub_Minutes</t>
  </si>
  <si>
    <t>{{BIW Main_Minutes}} : BIW Main_Minutes</t>
  </si>
  <si>
    <t>{{Micky_Minutes}} : Micky_Minutes</t>
  </si>
  <si>
    <t>{{D+6_Minutes}} : D+6_Minutes</t>
  </si>
  <si>
    <t>{{Total_Minutes}} : Total_Minutes</t>
  </si>
  <si>
    <t>{{I-Puma Sub_TopReason1}} : I-Puma Sub_TopReason1</t>
  </si>
  <si>
    <t>{{I-Puma Main_TopReason1}} : I-Puma Main_TopReason1</t>
  </si>
  <si>
    <t>{{BIW Sub_TopReason1}} : BIW Sub_TopReason1</t>
  </si>
  <si>
    <t>{{BIW Main_TopReason1}} : BIW Main_TopReason1</t>
  </si>
  <si>
    <t>{{Micky_TopReason1}} : Micky_TopReason1</t>
  </si>
  <si>
    <t>{{D+6_TopReason1}} : D+6_TopReason1</t>
  </si>
  <si>
    <t>Line Stop Monthly</t>
  </si>
  <si>
    <t>Prodction Loss</t>
  </si>
  <si>
    <t>{{Shift}} : Shift</t>
  </si>
  <si>
    <t>{{ShiftStart}} : ShiftStart</t>
  </si>
  <si>
    <t>{{ShiftEnd}} : ShiftEnd</t>
  </si>
  <si>
    <t>{{ProdCount}} : ProdCount</t>
  </si>
  <si>
    <t>{{ProdLoss}} : ProdLoss</t>
  </si>
  <si>
    <t>{{ShiftTime}} : ShiftTime</t>
  </si>
  <si>
    <t>{{BreakTime}} : BreakTime</t>
  </si>
  <si>
    <t>{{LinePause}} : LinePause</t>
  </si>
  <si>
    <t>{{DownTime}} : DownTime</t>
  </si>
  <si>
    <t>{{ShiftWorkingTime}} : ShiftWorkingTime</t>
  </si>
  <si>
    <t>{{OEE}} : OEE</t>
  </si>
  <si>
    <t>{{DT}} : DT</t>
  </si>
  <si>
    <t>{{Comment}} : Comment</t>
  </si>
  <si>
    <t>{{Week1_Target}} : Week1_Target</t>
  </si>
  <si>
    <t>{{Week1_Actual}} : Week1_Actual</t>
  </si>
  <si>
    <t>{{Week2_Target}} : Week2_Target</t>
  </si>
  <si>
    <t>{{Week2_Actual}} : Week2_Actual</t>
  </si>
  <si>
    <t>{{Week3_Target}} : Week3_Target</t>
  </si>
  <si>
    <t>{{Week3_Actual}} : Week3_Actual</t>
  </si>
  <si>
    <t>{{Week4_Target}} : Week4_Target</t>
  </si>
  <si>
    <t>{{Week4_Actual}} : Week4_Actual</t>
  </si>
  <si>
    <t>{{Week5_Target}} : Week5_Target</t>
  </si>
  <si>
    <t>{{Week5_Actual}} : Week5_Actual</t>
  </si>
  <si>
    <t>{{Month}} : Month</t>
  </si>
  <si>
    <t>{{MonthlyTarget}} : MonthlyTarget</t>
  </si>
  <si>
    <t>{{TotalRecords}} : TotalRecords</t>
  </si>
  <si>
    <t>{{MonthToDate}} : MonthToDate</t>
  </si>
  <si>
    <t>{{MTD_Target}} : MTD_Target</t>
  </si>
  <si>
    <t>{{MTD_Records}} : MTD_Records</t>
  </si>
  <si>
    <t>{{YearToDate}} : YearToDate</t>
  </si>
  <si>
    <t>{{YTD_Target}} : YTD_Target</t>
  </si>
  <si>
    <t>{{YTD_Records}} : YTD_Records</t>
  </si>
  <si>
    <t xml:space="preserve">Micky </t>
  </si>
  <si>
    <t xml:space="preserve">D+6 </t>
  </si>
  <si>
    <t>{{FinancialYear}} : FinancialYear</t>
  </si>
  <si>
    <t>{{TotalTarget}} : TotalTarget</t>
  </si>
  <si>
    <t xml:space="preserve">FY </t>
  </si>
  <si>
    <t>CH-10</t>
  </si>
  <si>
    <t>CH-20</t>
  </si>
  <si>
    <t>CH-30</t>
  </si>
  <si>
    <t>CH-40</t>
  </si>
  <si>
    <t>CH-50</t>
  </si>
  <si>
    <t>CH-60</t>
  </si>
  <si>
    <t>Weekly Sarthi</t>
  </si>
  <si>
    <t>Sarthi D+6</t>
  </si>
  <si>
    <t>G</t>
  </si>
  <si>
    <t>Call Loss Process (Min)</t>
  </si>
  <si>
    <t>Call Loss Material (Min)</t>
  </si>
  <si>
    <t>Call Loss Quality (Min)</t>
  </si>
  <si>
    <t>Call Loss Maint (Min)</t>
  </si>
  <si>
    <t>Call Loss Other (Min)</t>
  </si>
  <si>
    <t>AGV not start</t>
  </si>
  <si>
    <t>Cargo</t>
  </si>
  <si>
    <t>I-Puma</t>
  </si>
  <si>
    <t>Weekly Cargo</t>
  </si>
  <si>
    <t>Weekly I-Puma</t>
  </si>
  <si>
    <t>ABCDEFG</t>
  </si>
  <si>
    <t>Cargo Sub</t>
  </si>
  <si>
    <t>Chassis Line Status</t>
  </si>
  <si>
    <t>Chassis Line Loss Reason</t>
  </si>
  <si>
    <t>PLC Logic for data logging value</t>
  </si>
  <si>
    <t>Shift</t>
  </si>
  <si>
    <t>Shift Start Time</t>
  </si>
  <si>
    <t>Shift End Time</t>
  </si>
  <si>
    <t>Station Number</t>
  </si>
  <si>
    <t>Shift Time (Min)</t>
  </si>
  <si>
    <t>Plan Down Time (Min)</t>
  </si>
  <si>
    <t>Production Count</t>
  </si>
  <si>
    <t>Production Loss (Min)</t>
  </si>
  <si>
    <t>Call Loss Remark</t>
  </si>
  <si>
    <t>Station Availability (%)</t>
  </si>
  <si>
    <t>Station Call</t>
  </si>
  <si>
    <t>Process Call</t>
  </si>
  <si>
    <t>Material Call</t>
  </si>
  <si>
    <t>Quality Call</t>
  </si>
  <si>
    <t>Maintenance Call</t>
  </si>
  <si>
    <t>Date</t>
  </si>
  <si>
    <t>Time</t>
  </si>
  <si>
    <t>FY 2025-26</t>
  </si>
  <si>
    <t>Sarthi MTD</t>
  </si>
  <si>
    <t>Micky MTD</t>
  </si>
  <si>
    <t>Cargo MTD</t>
  </si>
  <si>
    <t>I-Puma MTD</t>
  </si>
  <si>
    <t>Report SQL work and SCADA Tagging</t>
  </si>
  <si>
    <t xml:space="preserve">SCADA / TAB Screen </t>
  </si>
  <si>
    <t>PLC Software work</t>
  </si>
  <si>
    <t>Data Field</t>
  </si>
  <si>
    <t xml:space="preserve">Report development work </t>
  </si>
  <si>
    <t>Sr. No.</t>
  </si>
  <si>
    <t>Report date and time</t>
  </si>
  <si>
    <t>Report generation Date and Time</t>
  </si>
  <si>
    <t>Daily Date</t>
  </si>
  <si>
    <t>Production date</t>
  </si>
  <si>
    <t>Weekly actual production</t>
  </si>
  <si>
    <t>monthly Plan and actual production</t>
  </si>
  <si>
    <t>Daily plan and actual production</t>
  </si>
  <si>
    <t>Yearly plan and actual production</t>
  </si>
  <si>
    <t>Last Year actual production</t>
  </si>
  <si>
    <t>Total Last year (April To March) Actual Production count</t>
  </si>
  <si>
    <t>Today's Actual value of Last log</t>
  </si>
  <si>
    <t xml:space="preserve">Today's Shift details at shift start </t>
  </si>
  <si>
    <t>Today's line plan down time last log value</t>
  </si>
  <si>
    <t>Today's Station Availability last log value</t>
  </si>
  <si>
    <t>Today's Station Highest call loss Min remark</t>
  </si>
  <si>
    <t>Today's Station Sum of call loss Min</t>
  </si>
  <si>
    <t xml:space="preserve">Highest call value </t>
  </si>
  <si>
    <t xml:space="preserve">Remark for Highest Chassis call value </t>
  </si>
  <si>
    <t>Report Section</t>
  </si>
  <si>
    <t>Production data</t>
  </si>
  <si>
    <t>Production Loss</t>
  </si>
  <si>
    <t>Production Call Status</t>
  </si>
  <si>
    <t>Production month</t>
  </si>
  <si>
    <t>Total monthly Plan and Actual Production count</t>
  </si>
  <si>
    <t>Today's Plan and Actual value of Last log</t>
  </si>
  <si>
    <t>Cargo, I-puma last year data</t>
  </si>
  <si>
    <t>Cargo, I-puma selected month data</t>
  </si>
  <si>
    <t>Sarthi, Micky last year data</t>
  </si>
  <si>
    <t>Sarthi, Micky selected month data</t>
  </si>
  <si>
    <t>Cargo, I-puma selected day data</t>
  </si>
  <si>
    <t>Shift, Shift Start and End Time</t>
  </si>
  <si>
    <t>Plan Down Time</t>
  </si>
  <si>
    <t>Shift Time</t>
  </si>
  <si>
    <t>Production count</t>
  </si>
  <si>
    <t>Call Min</t>
  </si>
  <si>
    <t>Station Production loss Min</t>
  </si>
  <si>
    <t>Station Call loss Min</t>
  </si>
  <si>
    <t>Call loss Remark</t>
  </si>
  <si>
    <t>Station Availability</t>
  </si>
  <si>
    <t>Target Date</t>
  </si>
  <si>
    <t>Month days excluding weekly off and holiday</t>
  </si>
  <si>
    <t>Left days of month excluding weekly off and holiday</t>
  </si>
  <si>
    <t>Total monthly Target and Actual Production count</t>
  </si>
  <si>
    <t>SCADA screen for report execution</t>
  </si>
  <si>
    <t>Month weekly off and holiday entry screen on SCADA</t>
  </si>
  <si>
    <t>Today's Plan and Actual value with Trigger</t>
  </si>
  <si>
    <t>Sarthi, Micky selected day data</t>
  </si>
  <si>
    <t>Part Of earlier Report</t>
  </si>
  <si>
    <t>Yes</t>
  </si>
  <si>
    <t>New</t>
  </si>
  <si>
    <t>2 Line New</t>
  </si>
  <si>
    <t xml:space="preserve">monthly Plan and actual production </t>
  </si>
  <si>
    <t>Total monthly Plan and Actual Production count (Last log value of the day and Sum for month data)</t>
  </si>
  <si>
    <t>Total weekly Actual Production count (Last log value of the day and Sum for week data)</t>
  </si>
  <si>
    <t>Total Shift time-Lunch/Snacks time - Plan Down time</t>
  </si>
  <si>
    <t>Station Wise production count</t>
  </si>
  <si>
    <t>Actual - Plan = Diff</t>
  </si>
  <si>
    <t>Var Production</t>
  </si>
  <si>
    <t>Total yearly (April To March) Actual Production (Last log value of the day and Sum for Year data)</t>
  </si>
  <si>
    <t>Total Last Year (April To March) Actual Production (Last log value of the day and Sum for Year data)</t>
  </si>
  <si>
    <t>Total Last year (April To March) Actual Production count (Last log value of the day and Sum for Year data)</t>
  </si>
  <si>
    <t>Plan Down time entry field in SCADA</t>
  </si>
  <si>
    <t>Remark entry field in TAB screen and Tag generation in SCADA</t>
  </si>
  <si>
    <t>Today's Station Prod Loss Calculation In PLC</t>
  </si>
  <si>
    <t>Today's Prod Loss Sum value and convert in Min</t>
  </si>
  <si>
    <t>Today's Station Call Loss Calculation In PLC</t>
  </si>
  <si>
    <t>Last log value of Station production count</t>
  </si>
  <si>
    <t>Trigger on shift start</t>
  </si>
  <si>
    <t>Today's Station Availability calculation in PLC</t>
  </si>
  <si>
    <t>Cargo and I Puma logic</t>
  </si>
  <si>
    <t>SCADA Software work</t>
  </si>
  <si>
    <t>Today's Actual Sarthi BIW value with Trigger</t>
  </si>
  <si>
    <t>Today's Actual Cargo and I Puma BIW value with Trigger</t>
  </si>
  <si>
    <t>Anjum - 05/06/2026</t>
  </si>
  <si>
    <t>Shruti - 04/06/2026</t>
  </si>
  <si>
    <t>Welcome Screen on SCADA</t>
  </si>
  <si>
    <t>Navigation screen on SCADA</t>
  </si>
  <si>
    <t>Navigation button screen</t>
  </si>
  <si>
    <t>Welcome Screen</t>
  </si>
  <si>
    <t>Stn 31-36</t>
  </si>
  <si>
    <t>Stn 1-4</t>
  </si>
  <si>
    <t>Stn 5-13</t>
  </si>
  <si>
    <t>Stn 14-17</t>
  </si>
  <si>
    <t>Stn 18-24</t>
  </si>
  <si>
    <t>Stn 25-30</t>
  </si>
  <si>
    <t>Remark</t>
  </si>
  <si>
    <t>Data for Stn 31-36</t>
  </si>
  <si>
    <t>Saarthi D+6</t>
  </si>
  <si>
    <t>Saarthi MTD</t>
  </si>
  <si>
    <t>Saarthi</t>
  </si>
  <si>
    <t>Weekly Saarthi</t>
  </si>
  <si>
    <t>Saarthi Main</t>
  </si>
  <si>
    <t>Saarthi Sub</t>
  </si>
  <si>
    <t>Cargo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</si>
</sst>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name val="Times New Roman"/>
    </font>
    <font>
      <b/>
      <sz val="9"/>
      <name val="Times New Roman"/>
    </font>
    <font>
      <b/>
      <sz val="8"/>
      <name val="Tahoma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17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8" xfId="0" applyBorder="1"/>
    <xf numFmtId="0" fontId="0" fillId="0" borderId="0" xfId="0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8" xfId="0" applyFill="1" applyBorder="1" applyAlignment="1">
      <alignment vertical="center"/>
    </xf>
    <xf numFmtId="0" fontId="5" fillId="0" borderId="5" xfId="0" applyFont="1" applyFill="1" applyBorder="1" applyAlignment="1">
      <alignment horizontal="center" vertical="center" wrapText="1"/>
    </xf>
    <xf numFmtId="0" fontId="0" fillId="0" borderId="2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5" fillId="0" borderId="7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/>
    </xf>
    <xf numFmtId="0" fontId="5" fillId="0" borderId="7" xfId="0" applyFon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/>
    <xf numFmtId="0" fontId="0" fillId="0" borderId="0" xfId="0" applyFill="1" applyBorder="1"/>
    <xf numFmtId="0" fontId="0" fillId="0" borderId="8" xfId="0" applyFill="1" applyBorder="1"/>
    <xf numFmtId="0" fontId="5" fillId="0" borderId="5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4" borderId="5" xfId="0" applyFill="1" applyBorder="1" applyAlignment="1">
      <alignment horizontal="center" vertical="center"/>
    </xf>
    <xf numFmtId="2" fontId="0" fillId="3" borderId="5" xfId="0" applyNumberFormat="1" applyFill="1" applyBorder="1"/>
    <xf numFmtId="0" fontId="5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wrapText="1"/>
    </xf>
    <xf numFmtId="1" fontId="3" fillId="0" borderId="5" xfId="0" applyNumberFormat="1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5" borderId="0" xfId="0" applyFill="1"/>
    <xf numFmtId="0" fontId="0" fillId="6" borderId="0" xfId="0" applyFill="1"/>
    <xf numFmtId="0" fontId="0" fillId="0" borderId="7" xfId="0" applyFont="1" applyBorder="1"/>
    <xf numFmtId="0" fontId="0" fillId="7" borderId="0" xfId="0" applyFill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1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13" fillId="0" borderId="5" xfId="0" applyFont="1" applyBorder="1" applyAlignment="1">
      <alignment horizontal="center" vertical="top" wrapText="1"/>
    </xf>
    <xf numFmtId="0" fontId="1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8" borderId="5" xfId="0" applyFont="1" applyFill="1" applyBorder="1" applyAlignment="1">
      <alignment vertical="top"/>
    </xf>
    <xf numFmtId="0" fontId="14" fillId="8" borderId="5" xfId="0" applyFont="1" applyFill="1" applyBorder="1" applyAlignment="1">
      <alignment vertical="top" wrapText="1"/>
    </xf>
    <xf numFmtId="0" fontId="0" fillId="8" borderId="5" xfId="0" applyFill="1" applyBorder="1" applyAlignment="1">
      <alignment vertical="top"/>
    </xf>
    <xf numFmtId="0" fontId="14" fillId="8" borderId="0" xfId="0" applyFont="1" applyFill="1" applyAlignment="1">
      <alignment vertical="top" wrapText="1"/>
    </xf>
    <xf numFmtId="0" fontId="1" fillId="8" borderId="5" xfId="0" applyFont="1" applyFill="1" applyBorder="1" applyAlignment="1">
      <alignment vertical="top" wrapText="1"/>
    </xf>
    <xf numFmtId="0" fontId="1" fillId="0" borderId="5" xfId="0" applyFont="1" applyBorder="1" applyAlignment="1">
      <alignment horizontal="center" vertical="center" wrapText="1"/>
    </xf>
    <xf numFmtId="0" fontId="1" fillId="7" borderId="5" xfId="0" applyFont="1" applyFill="1" applyBorder="1" applyAlignment="1">
      <alignment vertical="top"/>
    </xf>
    <xf numFmtId="0" fontId="1" fillId="7" borderId="5" xfId="0" applyFont="1" applyFill="1" applyBorder="1" applyAlignment="1">
      <alignment vertical="top" wrapText="1"/>
    </xf>
    <xf numFmtId="0" fontId="1" fillId="4" borderId="5" xfId="0" applyFont="1" applyFill="1" applyBorder="1" applyAlignment="1">
      <alignment vertical="top"/>
    </xf>
    <xf numFmtId="0" fontId="1" fillId="0" borderId="5" xfId="0" applyFont="1" applyBorder="1" applyAlignment="1">
      <alignment vertical="center" wrapText="1"/>
    </xf>
    <xf numFmtId="0" fontId="1" fillId="8" borderId="5" xfId="0" applyFont="1" applyFill="1" applyBorder="1" applyAlignment="1">
      <alignment vertical="center" wrapText="1"/>
    </xf>
    <xf numFmtId="0" fontId="14" fillId="8" borderId="5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8" borderId="0" xfId="0" applyFont="1" applyFill="1" applyAlignment="1">
      <alignment vertical="top" wrapText="1"/>
    </xf>
    <xf numFmtId="14" fontId="0" fillId="0" borderId="5" xfId="0" applyNumberForma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5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5" xfId="0" applyFont="1" applyFill="1" applyBorder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29" xfId="0" applyFont="1" applyFill="1" applyBorder="1" applyAlignment="1">
      <alignment horizontal="left"/>
    </xf>
    <xf numFmtId="0" fontId="2" fillId="0" borderId="30" xfId="0" applyFont="1" applyFill="1" applyBorder="1" applyAlignment="1">
      <alignment horizontal="left"/>
    </xf>
    <xf numFmtId="0" fontId="2" fillId="0" borderId="31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center"/>
    </xf>
    <xf numFmtId="16" fontId="5" fillId="0" borderId="18" xfId="0" applyNumberFormat="1" applyFont="1" applyFill="1" applyBorder="1" applyAlignment="1">
      <alignment horizontal="center"/>
    </xf>
    <xf numFmtId="16" fontId="5" fillId="0" borderId="19" xfId="0" applyNumberFormat="1" applyFont="1" applyFill="1" applyBorder="1" applyAlignment="1">
      <alignment horizontal="center"/>
    </xf>
    <xf numFmtId="16" fontId="5" fillId="0" borderId="27" xfId="0" applyNumberFormat="1" applyFont="1" applyFill="1" applyBorder="1" applyAlignment="1">
      <alignment horizontal="center"/>
    </xf>
    <xf numFmtId="16" fontId="5" fillId="0" borderId="21" xfId="0" applyNumberFormat="1" applyFont="1" applyFill="1" applyBorder="1" applyAlignment="1">
      <alignment horizontal="center"/>
    </xf>
    <xf numFmtId="16" fontId="5" fillId="0" borderId="12" xfId="0" applyNumberFormat="1" applyFont="1" applyFill="1" applyBorder="1" applyAlignment="1">
      <alignment horizontal="center"/>
    </xf>
    <xf numFmtId="16" fontId="5" fillId="0" borderId="23" xfId="0" applyNumberFormat="1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2" fillId="0" borderId="28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8" fontId="0" fillId="0" borderId="5" xfId="0" applyNumberFormat="1" applyFill="1" applyBorder="1" applyAlignment="1">
      <alignment horizontal="center"/>
    </xf>
    <xf numFmtId="16" fontId="5" fillId="0" borderId="5" xfId="0" applyNumberFormat="1" applyFont="1" applyFill="1" applyBorder="1" applyAlignment="1">
      <alignment horizontal="center" vertical="center"/>
    </xf>
    <xf numFmtId="16" fontId="5" fillId="0" borderId="10" xfId="0" applyNumberFormat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left" vertical="center"/>
    </xf>
    <xf numFmtId="0" fontId="5" fillId="0" borderId="16" xfId="0" applyFont="1" applyFill="1" applyBorder="1" applyAlignment="1">
      <alignment horizontal="left" vertical="center"/>
    </xf>
    <xf numFmtId="0" fontId="5" fillId="0" borderId="17" xfId="0" applyFont="1" applyFill="1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7" fontId="5" fillId="0" borderId="10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17" fontId="5" fillId="0" borderId="5" xfId="0" applyNumberFormat="1" applyFont="1" applyFill="1" applyBorder="1" applyAlignment="1">
      <alignment horizontal="center" vertical="center"/>
    </xf>
    <xf numFmtId="0" fontId="0" fillId="3" borderId="5" xfId="0" applyFill="1" applyBorder="1"/>
    <xf numFmtId="0" fontId="0" fillId="3" borderId="6" xfId="0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25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16" fontId="5" fillId="0" borderId="5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left"/>
    </xf>
    <xf numFmtId="0" fontId="2" fillId="0" borderId="26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0" fillId="7" borderId="0" xfId="0" applyFill="1" applyBorder="1"/>
    <xf numFmtId="0" fontId="13" fillId="7" borderId="10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7" borderId="17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left" vertical="center"/>
    </xf>
    <xf numFmtId="0" fontId="5" fillId="7" borderId="16" xfId="0" applyFont="1" applyFill="1" applyBorder="1" applyAlignment="1">
      <alignment horizontal="left" vertical="center"/>
    </xf>
    <xf numFmtId="0" fontId="5" fillId="7" borderId="17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16668</xdr:rowOff>
    </xdr:from>
    <xdr:to>
      <xdr:col>2</xdr:col>
      <xdr:colOff>583406</xdr:colOff>
      <xdr:row>4</xdr:row>
      <xdr:rowOff>187105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9525" y="409574"/>
          <a:ext cx="1871662" cy="551437"/>
        </a:xfrm>
        <a:prstGeom prst="rect">
          <a:avLst/>
        </a:prstGeom>
      </xdr:spPr>
    </xdr:pic>
    <xdr:clientData/>
  </xdr:twoCellAnchor>
  <xdr:twoCellAnchor>
    <xdr:from>
      <xdr:col>3</xdr:col>
      <xdr:colOff>47624</xdr:colOff>
      <xdr:row>4</xdr:row>
      <xdr:rowOff>23814</xdr:rowOff>
    </xdr:from>
    <xdr:to>
      <xdr:col>4</xdr:col>
      <xdr:colOff>511969</xdr:colOff>
      <xdr:row>6</xdr:row>
      <xdr:rowOff>154782</xdr:rowOff>
    </xdr:to>
    <xdr:sp macro="" textlink="">
      <xdr:nvSpPr>
        <xdr:cNvPr id="2" name="TextBox 1"/>
        <xdr:cNvSpPr txBox="1"/>
      </xdr:nvSpPr>
      <xdr:spPr>
        <a:xfrm>
          <a:off x="1940718" y="797720"/>
          <a:ext cx="1381126" cy="51196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4. Report</a:t>
          </a:r>
          <a:r>
            <a:rPr lang="en-US" sz="1100" baseline="0"/>
            <a:t> generation Date and Time</a:t>
          </a:r>
          <a:endParaRPr lang="en-US" sz="1100"/>
        </a:p>
      </xdr:txBody>
    </xdr:sp>
    <xdr:clientData/>
  </xdr:twoCellAnchor>
  <xdr:twoCellAnchor>
    <xdr:from>
      <xdr:col>11</xdr:col>
      <xdr:colOff>285749</xdr:colOff>
      <xdr:row>2</xdr:row>
      <xdr:rowOff>95250</xdr:rowOff>
    </xdr:from>
    <xdr:to>
      <xdr:col>14</xdr:col>
      <xdr:colOff>428624</xdr:colOff>
      <xdr:row>3</xdr:row>
      <xdr:rowOff>154782</xdr:rowOff>
    </xdr:to>
    <xdr:sp macro="" textlink="">
      <xdr:nvSpPr>
        <xdr:cNvPr id="4" name="TextBox 3"/>
        <xdr:cNvSpPr txBox="1"/>
      </xdr:nvSpPr>
      <xdr:spPr>
        <a:xfrm>
          <a:off x="8501062" y="488156"/>
          <a:ext cx="1404937" cy="25003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1. Production</a:t>
          </a:r>
          <a:r>
            <a:rPr lang="en-US" sz="1100" baseline="0"/>
            <a:t> month</a:t>
          </a:r>
          <a:endParaRPr lang="en-US" sz="1100"/>
        </a:p>
      </xdr:txBody>
    </xdr:sp>
    <xdr:clientData/>
  </xdr:twoCellAnchor>
  <xdr:twoCellAnchor>
    <xdr:from>
      <xdr:col>10</xdr:col>
      <xdr:colOff>142875</xdr:colOff>
      <xdr:row>3</xdr:row>
      <xdr:rowOff>173832</xdr:rowOff>
    </xdr:from>
    <xdr:to>
      <xdr:col>14</xdr:col>
      <xdr:colOff>426243</xdr:colOff>
      <xdr:row>6</xdr:row>
      <xdr:rowOff>47625</xdr:rowOff>
    </xdr:to>
    <xdr:sp macro="" textlink="">
      <xdr:nvSpPr>
        <xdr:cNvPr id="5" name="TextBox 4"/>
        <xdr:cNvSpPr txBox="1"/>
      </xdr:nvSpPr>
      <xdr:spPr>
        <a:xfrm>
          <a:off x="7953375" y="757238"/>
          <a:ext cx="1950243" cy="4452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2. Month</a:t>
          </a:r>
          <a:r>
            <a:rPr lang="en-US" sz="1100" baseline="0"/>
            <a:t> days excuding weekly off and holiday</a:t>
          </a:r>
          <a:endParaRPr lang="en-US" sz="1100"/>
        </a:p>
      </xdr:txBody>
    </xdr:sp>
    <xdr:clientData/>
  </xdr:twoCellAnchor>
  <xdr:twoCellAnchor>
    <xdr:from>
      <xdr:col>8</xdr:col>
      <xdr:colOff>685800</xdr:colOff>
      <xdr:row>10</xdr:row>
      <xdr:rowOff>138113</xdr:rowOff>
    </xdr:from>
    <xdr:to>
      <xdr:col>11</xdr:col>
      <xdr:colOff>71437</xdr:colOff>
      <xdr:row>13</xdr:row>
      <xdr:rowOff>0</xdr:rowOff>
    </xdr:to>
    <xdr:sp macro="" textlink="">
      <xdr:nvSpPr>
        <xdr:cNvPr id="6" name="TextBox 5"/>
        <xdr:cNvSpPr txBox="1"/>
      </xdr:nvSpPr>
      <xdr:spPr>
        <a:xfrm>
          <a:off x="6734175" y="2055019"/>
          <a:ext cx="1552575" cy="43338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8. Total weekly 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  <xdr:twoCellAnchor>
    <xdr:from>
      <xdr:col>3</xdr:col>
      <xdr:colOff>909638</xdr:colOff>
      <xdr:row>11</xdr:row>
      <xdr:rowOff>28576</xdr:rowOff>
    </xdr:from>
    <xdr:to>
      <xdr:col>6</xdr:col>
      <xdr:colOff>59531</xdr:colOff>
      <xdr:row>13</xdr:row>
      <xdr:rowOff>95250</xdr:rowOff>
    </xdr:to>
    <xdr:sp macro="" textlink="">
      <xdr:nvSpPr>
        <xdr:cNvPr id="7" name="TextBox 6"/>
        <xdr:cNvSpPr txBox="1"/>
      </xdr:nvSpPr>
      <xdr:spPr>
        <a:xfrm>
          <a:off x="2802732" y="2135982"/>
          <a:ext cx="1662112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6. Total monthly Plan and 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  <xdr:twoCellAnchor>
    <xdr:from>
      <xdr:col>16</xdr:col>
      <xdr:colOff>14287</xdr:colOff>
      <xdr:row>14</xdr:row>
      <xdr:rowOff>38101</xdr:rowOff>
    </xdr:from>
    <xdr:to>
      <xdr:col>20</xdr:col>
      <xdr:colOff>321469</xdr:colOff>
      <xdr:row>16</xdr:row>
      <xdr:rowOff>104775</xdr:rowOff>
    </xdr:to>
    <xdr:sp macro="" textlink="">
      <xdr:nvSpPr>
        <xdr:cNvPr id="8" name="TextBox 7"/>
        <xdr:cNvSpPr txBox="1"/>
      </xdr:nvSpPr>
      <xdr:spPr>
        <a:xfrm>
          <a:off x="10348912" y="2717007"/>
          <a:ext cx="1926432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10. Total monthly Targat and Actual Production count</a:t>
          </a:r>
        </a:p>
      </xdr:txBody>
    </xdr:sp>
    <xdr:clientData/>
  </xdr:twoCellAnchor>
  <xdr:twoCellAnchor>
    <xdr:from>
      <xdr:col>19</xdr:col>
      <xdr:colOff>47624</xdr:colOff>
      <xdr:row>11</xdr:row>
      <xdr:rowOff>83346</xdr:rowOff>
    </xdr:from>
    <xdr:to>
      <xdr:col>22</xdr:col>
      <xdr:colOff>404812</xdr:colOff>
      <xdr:row>13</xdr:row>
      <xdr:rowOff>150020</xdr:rowOff>
    </xdr:to>
    <xdr:sp macro="" textlink="">
      <xdr:nvSpPr>
        <xdr:cNvPr id="9" name="TextBox 8"/>
        <xdr:cNvSpPr txBox="1"/>
      </xdr:nvSpPr>
      <xdr:spPr>
        <a:xfrm>
          <a:off x="11668124" y="2190752"/>
          <a:ext cx="1869282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11. Total yearly (April To March) Actual Production count</a:t>
          </a:r>
        </a:p>
      </xdr:txBody>
    </xdr:sp>
    <xdr:clientData/>
  </xdr:twoCellAnchor>
  <xdr:twoCellAnchor>
    <xdr:from>
      <xdr:col>20</xdr:col>
      <xdr:colOff>450057</xdr:colOff>
      <xdr:row>8</xdr:row>
      <xdr:rowOff>164308</xdr:rowOff>
    </xdr:from>
    <xdr:to>
      <xdr:col>23</xdr:col>
      <xdr:colOff>714376</xdr:colOff>
      <xdr:row>11</xdr:row>
      <xdr:rowOff>40482</xdr:rowOff>
    </xdr:to>
    <xdr:sp macro="" textlink="">
      <xdr:nvSpPr>
        <xdr:cNvPr id="10" name="TextBox 9"/>
        <xdr:cNvSpPr txBox="1"/>
      </xdr:nvSpPr>
      <xdr:spPr>
        <a:xfrm>
          <a:off x="12403932" y="1700214"/>
          <a:ext cx="2038350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12. Last year (April To March) Actual Production </a:t>
          </a:r>
        </a:p>
      </xdr:txBody>
    </xdr:sp>
    <xdr:clientData/>
  </xdr:twoCellAnchor>
  <xdr:twoCellAnchor>
    <xdr:from>
      <xdr:col>1</xdr:col>
      <xdr:colOff>292894</xdr:colOff>
      <xdr:row>18</xdr:row>
      <xdr:rowOff>30958</xdr:rowOff>
    </xdr:from>
    <xdr:to>
      <xdr:col>4</xdr:col>
      <xdr:colOff>69057</xdr:colOff>
      <xdr:row>20</xdr:row>
      <xdr:rowOff>97632</xdr:rowOff>
    </xdr:to>
    <xdr:sp macro="" textlink="">
      <xdr:nvSpPr>
        <xdr:cNvPr id="11" name="TextBox 10"/>
        <xdr:cNvSpPr txBox="1"/>
      </xdr:nvSpPr>
      <xdr:spPr>
        <a:xfrm>
          <a:off x="864394" y="3471864"/>
          <a:ext cx="2014538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13. Total Last year</a:t>
          </a:r>
          <a:r>
            <a:rPr lang="en-US" sz="1100" baseline="0"/>
            <a:t> (April To March) </a:t>
          </a:r>
          <a:r>
            <a:rPr lang="en-US" sz="1100"/>
            <a:t>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  <xdr:twoCellAnchor>
    <xdr:from>
      <xdr:col>1</xdr:col>
      <xdr:colOff>290513</xdr:colOff>
      <xdr:row>25</xdr:row>
      <xdr:rowOff>40483</xdr:rowOff>
    </xdr:from>
    <xdr:to>
      <xdr:col>4</xdr:col>
      <xdr:colOff>66676</xdr:colOff>
      <xdr:row>27</xdr:row>
      <xdr:rowOff>107157</xdr:rowOff>
    </xdr:to>
    <xdr:sp macro="" textlink="">
      <xdr:nvSpPr>
        <xdr:cNvPr id="12" name="TextBox 11"/>
        <xdr:cNvSpPr txBox="1"/>
      </xdr:nvSpPr>
      <xdr:spPr>
        <a:xfrm>
          <a:off x="862013" y="4814889"/>
          <a:ext cx="2014538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15. Total Last year</a:t>
          </a:r>
          <a:r>
            <a:rPr lang="en-US" sz="1100" baseline="0"/>
            <a:t> (April To March) </a:t>
          </a:r>
          <a:r>
            <a:rPr lang="en-US" sz="1100"/>
            <a:t>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  <xdr:twoCellAnchor>
    <xdr:from>
      <xdr:col>4</xdr:col>
      <xdr:colOff>347662</xdr:colOff>
      <xdr:row>18</xdr:row>
      <xdr:rowOff>38102</xdr:rowOff>
    </xdr:from>
    <xdr:to>
      <xdr:col>6</xdr:col>
      <xdr:colOff>619123</xdr:colOff>
      <xdr:row>20</xdr:row>
      <xdr:rowOff>104776</xdr:rowOff>
    </xdr:to>
    <xdr:sp macro="" textlink="">
      <xdr:nvSpPr>
        <xdr:cNvPr id="13" name="TextBox 12"/>
        <xdr:cNvSpPr txBox="1"/>
      </xdr:nvSpPr>
      <xdr:spPr>
        <a:xfrm>
          <a:off x="3157537" y="3479008"/>
          <a:ext cx="1866899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14. Total monthly Targat and 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  <xdr:twoCellAnchor>
    <xdr:from>
      <xdr:col>6</xdr:col>
      <xdr:colOff>121444</xdr:colOff>
      <xdr:row>11</xdr:row>
      <xdr:rowOff>26194</xdr:rowOff>
    </xdr:from>
    <xdr:to>
      <xdr:col>7</xdr:col>
      <xdr:colOff>476251</xdr:colOff>
      <xdr:row>12</xdr:row>
      <xdr:rowOff>71437</xdr:rowOff>
    </xdr:to>
    <xdr:sp macro="" textlink="">
      <xdr:nvSpPr>
        <xdr:cNvPr id="14" name="TextBox 13"/>
        <xdr:cNvSpPr txBox="1"/>
      </xdr:nvSpPr>
      <xdr:spPr>
        <a:xfrm>
          <a:off x="4526757" y="2133600"/>
          <a:ext cx="1200150" cy="2357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7. Act</a:t>
          </a:r>
          <a:r>
            <a:rPr lang="en-US" sz="1100" baseline="0"/>
            <a:t> - Plan = </a:t>
          </a:r>
          <a:r>
            <a:rPr lang="en-US" sz="1100"/>
            <a:t>Diff</a:t>
          </a:r>
        </a:p>
      </xdr:txBody>
    </xdr:sp>
    <xdr:clientData/>
  </xdr:twoCellAnchor>
  <xdr:twoCellAnchor>
    <xdr:from>
      <xdr:col>12</xdr:col>
      <xdr:colOff>338137</xdr:colOff>
      <xdr:row>11</xdr:row>
      <xdr:rowOff>28577</xdr:rowOff>
    </xdr:from>
    <xdr:to>
      <xdr:col>15</xdr:col>
      <xdr:colOff>226218</xdr:colOff>
      <xdr:row>14</xdr:row>
      <xdr:rowOff>83345</xdr:rowOff>
    </xdr:to>
    <xdr:sp macro="" textlink="">
      <xdr:nvSpPr>
        <xdr:cNvPr id="15" name="TextBox 14"/>
        <xdr:cNvSpPr txBox="1"/>
      </xdr:nvSpPr>
      <xdr:spPr>
        <a:xfrm>
          <a:off x="8958262" y="2135983"/>
          <a:ext cx="1197769" cy="62626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9. Today's Plan and Actual value of Last log</a:t>
          </a:r>
        </a:p>
      </xdr:txBody>
    </xdr:sp>
    <xdr:clientData/>
  </xdr:twoCellAnchor>
  <xdr:twoCellAnchor>
    <xdr:from>
      <xdr:col>13</xdr:col>
      <xdr:colOff>50005</xdr:colOff>
      <xdr:row>25</xdr:row>
      <xdr:rowOff>50007</xdr:rowOff>
    </xdr:from>
    <xdr:to>
      <xdr:col>16</xdr:col>
      <xdr:colOff>11906</xdr:colOff>
      <xdr:row>27</xdr:row>
      <xdr:rowOff>142875</xdr:rowOff>
    </xdr:to>
    <xdr:sp macro="" textlink="">
      <xdr:nvSpPr>
        <xdr:cNvPr id="16" name="TextBox 15"/>
        <xdr:cNvSpPr txBox="1"/>
      </xdr:nvSpPr>
      <xdr:spPr>
        <a:xfrm>
          <a:off x="9074943" y="4824413"/>
          <a:ext cx="1271588" cy="47386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17. Today's Actual value of Last log</a:t>
          </a:r>
        </a:p>
      </xdr:txBody>
    </xdr:sp>
    <xdr:clientData/>
  </xdr:twoCellAnchor>
  <xdr:twoCellAnchor>
    <xdr:from>
      <xdr:col>9</xdr:col>
      <xdr:colOff>607218</xdr:colOff>
      <xdr:row>32</xdr:row>
      <xdr:rowOff>23813</xdr:rowOff>
    </xdr:from>
    <xdr:to>
      <xdr:col>12</xdr:col>
      <xdr:colOff>369094</xdr:colOff>
      <xdr:row>34</xdr:row>
      <xdr:rowOff>95251</xdr:rowOff>
    </xdr:to>
    <xdr:sp macro="" textlink="">
      <xdr:nvSpPr>
        <xdr:cNvPr id="17" name="TextBox 16"/>
        <xdr:cNvSpPr txBox="1"/>
      </xdr:nvSpPr>
      <xdr:spPr>
        <a:xfrm>
          <a:off x="7584281" y="6512719"/>
          <a:ext cx="1404938" cy="45243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21.</a:t>
          </a:r>
          <a:r>
            <a:rPr lang="en-US" sz="1100" baseline="0"/>
            <a:t> </a:t>
          </a:r>
          <a:r>
            <a:rPr lang="en-US" sz="1100"/>
            <a:t>Today's Station Sum of call loss Min</a:t>
          </a:r>
        </a:p>
      </xdr:txBody>
    </xdr:sp>
    <xdr:clientData/>
  </xdr:twoCellAnchor>
  <xdr:twoCellAnchor>
    <xdr:from>
      <xdr:col>16</xdr:col>
      <xdr:colOff>69057</xdr:colOff>
      <xdr:row>32</xdr:row>
      <xdr:rowOff>21432</xdr:rowOff>
    </xdr:from>
    <xdr:to>
      <xdr:col>18</xdr:col>
      <xdr:colOff>321469</xdr:colOff>
      <xdr:row>35</xdr:row>
      <xdr:rowOff>59532</xdr:rowOff>
    </xdr:to>
    <xdr:sp macro="" textlink="">
      <xdr:nvSpPr>
        <xdr:cNvPr id="18" name="TextBox 17"/>
        <xdr:cNvSpPr txBox="1"/>
      </xdr:nvSpPr>
      <xdr:spPr>
        <a:xfrm>
          <a:off x="10403682" y="6510338"/>
          <a:ext cx="1133475" cy="609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22. Today's Station Highest call loss Min remark</a:t>
          </a:r>
        </a:p>
      </xdr:txBody>
    </xdr:sp>
    <xdr:clientData/>
  </xdr:twoCellAnchor>
  <xdr:twoCellAnchor>
    <xdr:from>
      <xdr:col>21</xdr:col>
      <xdr:colOff>30957</xdr:colOff>
      <xdr:row>31</xdr:row>
      <xdr:rowOff>19050</xdr:rowOff>
    </xdr:from>
    <xdr:to>
      <xdr:col>23</xdr:col>
      <xdr:colOff>107156</xdr:colOff>
      <xdr:row>34</xdr:row>
      <xdr:rowOff>57150</xdr:rowOff>
    </xdr:to>
    <xdr:sp macro="" textlink="">
      <xdr:nvSpPr>
        <xdr:cNvPr id="19" name="TextBox 18"/>
        <xdr:cNvSpPr txBox="1"/>
      </xdr:nvSpPr>
      <xdr:spPr>
        <a:xfrm>
          <a:off x="12568238" y="6317456"/>
          <a:ext cx="1266824" cy="609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23. Today's Station Availability last log value</a:t>
          </a:r>
        </a:p>
      </xdr:txBody>
    </xdr:sp>
    <xdr:clientData/>
  </xdr:twoCellAnchor>
  <xdr:twoCellAnchor>
    <xdr:from>
      <xdr:col>5</xdr:col>
      <xdr:colOff>16670</xdr:colOff>
      <xdr:row>32</xdr:row>
      <xdr:rowOff>28580</xdr:rowOff>
    </xdr:from>
    <xdr:to>
      <xdr:col>5</xdr:col>
      <xdr:colOff>857250</xdr:colOff>
      <xdr:row>37</xdr:row>
      <xdr:rowOff>23814</xdr:rowOff>
    </xdr:to>
    <xdr:sp macro="" textlink="">
      <xdr:nvSpPr>
        <xdr:cNvPr id="20" name="TextBox 19"/>
        <xdr:cNvSpPr txBox="1"/>
      </xdr:nvSpPr>
      <xdr:spPr>
        <a:xfrm>
          <a:off x="3540920" y="6707986"/>
          <a:ext cx="840580" cy="94773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19. Today's line plan down</a:t>
          </a:r>
          <a:r>
            <a:rPr lang="en-US" sz="1100" baseline="0"/>
            <a:t> time</a:t>
          </a:r>
          <a:r>
            <a:rPr lang="en-US" sz="1100"/>
            <a:t> last log value</a:t>
          </a:r>
        </a:p>
      </xdr:txBody>
    </xdr:sp>
    <xdr:clientData/>
  </xdr:twoCellAnchor>
  <xdr:twoCellAnchor>
    <xdr:from>
      <xdr:col>6</xdr:col>
      <xdr:colOff>823913</xdr:colOff>
      <xdr:row>32</xdr:row>
      <xdr:rowOff>14288</xdr:rowOff>
    </xdr:from>
    <xdr:to>
      <xdr:col>8</xdr:col>
      <xdr:colOff>11907</xdr:colOff>
      <xdr:row>37</xdr:row>
      <xdr:rowOff>35720</xdr:rowOff>
    </xdr:to>
    <xdr:sp macro="" textlink="">
      <xdr:nvSpPr>
        <xdr:cNvPr id="21" name="TextBox 20"/>
        <xdr:cNvSpPr txBox="1"/>
      </xdr:nvSpPr>
      <xdr:spPr>
        <a:xfrm>
          <a:off x="5229226" y="6503194"/>
          <a:ext cx="831056" cy="9739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20. Today's Prod Loss Sum value and conv in Min</a:t>
          </a:r>
        </a:p>
      </xdr:txBody>
    </xdr:sp>
    <xdr:clientData/>
  </xdr:twoCellAnchor>
  <xdr:twoCellAnchor>
    <xdr:from>
      <xdr:col>0</xdr:col>
      <xdr:colOff>309563</xdr:colOff>
      <xdr:row>32</xdr:row>
      <xdr:rowOff>23812</xdr:rowOff>
    </xdr:from>
    <xdr:to>
      <xdr:col>2</xdr:col>
      <xdr:colOff>428626</xdr:colOff>
      <xdr:row>34</xdr:row>
      <xdr:rowOff>95249</xdr:rowOff>
    </xdr:to>
    <xdr:sp macro="" textlink="">
      <xdr:nvSpPr>
        <xdr:cNvPr id="22" name="TextBox 21"/>
        <xdr:cNvSpPr txBox="1"/>
      </xdr:nvSpPr>
      <xdr:spPr>
        <a:xfrm>
          <a:off x="309563" y="6512718"/>
          <a:ext cx="1416844" cy="4524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18. Today's Shift</a:t>
          </a:r>
          <a:r>
            <a:rPr lang="en-US" sz="1100" baseline="0"/>
            <a:t> details at shift start trigger</a:t>
          </a:r>
          <a:endParaRPr lang="en-US" sz="1100"/>
        </a:p>
      </xdr:txBody>
    </xdr:sp>
    <xdr:clientData/>
  </xdr:twoCellAnchor>
  <xdr:twoCellAnchor>
    <xdr:from>
      <xdr:col>16</xdr:col>
      <xdr:colOff>28575</xdr:colOff>
      <xdr:row>42</xdr:row>
      <xdr:rowOff>28575</xdr:rowOff>
    </xdr:from>
    <xdr:to>
      <xdr:col>20</xdr:col>
      <xdr:colOff>154781</xdr:colOff>
      <xdr:row>44</xdr:row>
      <xdr:rowOff>83345</xdr:rowOff>
    </xdr:to>
    <xdr:sp macro="" textlink="">
      <xdr:nvSpPr>
        <xdr:cNvPr id="23" name="TextBox 22"/>
        <xdr:cNvSpPr txBox="1"/>
      </xdr:nvSpPr>
      <xdr:spPr>
        <a:xfrm>
          <a:off x="10363200" y="8422481"/>
          <a:ext cx="1745456" cy="43577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25. Reason and Remark for Highest</a:t>
          </a:r>
          <a:r>
            <a:rPr lang="en-US" sz="1100" baseline="0"/>
            <a:t> Chassis call value </a:t>
          </a:r>
          <a:endParaRPr lang="en-US" sz="1100"/>
        </a:p>
      </xdr:txBody>
    </xdr:sp>
    <xdr:clientData/>
  </xdr:twoCellAnchor>
  <xdr:twoCellAnchor>
    <xdr:from>
      <xdr:col>4</xdr:col>
      <xdr:colOff>38101</xdr:colOff>
      <xdr:row>42</xdr:row>
      <xdr:rowOff>14287</xdr:rowOff>
    </xdr:from>
    <xdr:to>
      <xdr:col>5</xdr:col>
      <xdr:colOff>438150</xdr:colOff>
      <xdr:row>43</xdr:row>
      <xdr:rowOff>107157</xdr:rowOff>
    </xdr:to>
    <xdr:sp macro="" textlink="">
      <xdr:nvSpPr>
        <xdr:cNvPr id="24" name="TextBox 23"/>
        <xdr:cNvSpPr txBox="1"/>
      </xdr:nvSpPr>
      <xdr:spPr>
        <a:xfrm>
          <a:off x="3562351" y="8408193"/>
          <a:ext cx="1281112" cy="28337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24. Highest</a:t>
          </a:r>
          <a:r>
            <a:rPr lang="en-US" sz="1100" baseline="0"/>
            <a:t> call value </a:t>
          </a:r>
          <a:endParaRPr lang="en-US" sz="1100"/>
        </a:p>
      </xdr:txBody>
    </xdr:sp>
    <xdr:clientData/>
  </xdr:twoCellAnchor>
  <xdr:twoCellAnchor>
    <xdr:from>
      <xdr:col>8</xdr:col>
      <xdr:colOff>471487</xdr:colOff>
      <xdr:row>37</xdr:row>
      <xdr:rowOff>138115</xdr:rowOff>
    </xdr:from>
    <xdr:to>
      <xdr:col>10</xdr:col>
      <xdr:colOff>47625</xdr:colOff>
      <xdr:row>39</xdr:row>
      <xdr:rowOff>11906</xdr:rowOff>
    </xdr:to>
    <xdr:sp macro="" textlink="">
      <xdr:nvSpPr>
        <xdr:cNvPr id="25" name="TextBox 24"/>
        <xdr:cNvSpPr txBox="1"/>
      </xdr:nvSpPr>
      <xdr:spPr>
        <a:xfrm>
          <a:off x="6519862" y="7579521"/>
          <a:ext cx="1338263" cy="25479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5. Production Date</a:t>
          </a:r>
        </a:p>
      </xdr:txBody>
    </xdr:sp>
    <xdr:clientData/>
  </xdr:twoCellAnchor>
  <xdr:twoCellAnchor>
    <xdr:from>
      <xdr:col>13</xdr:col>
      <xdr:colOff>40481</xdr:colOff>
      <xdr:row>19</xdr:row>
      <xdr:rowOff>111920</xdr:rowOff>
    </xdr:from>
    <xdr:to>
      <xdr:col>16</xdr:col>
      <xdr:colOff>35719</xdr:colOff>
      <xdr:row>20</xdr:row>
      <xdr:rowOff>166687</xdr:rowOff>
    </xdr:to>
    <xdr:sp macro="" textlink="">
      <xdr:nvSpPr>
        <xdr:cNvPr id="26" name="TextBox 25"/>
        <xdr:cNvSpPr txBox="1"/>
      </xdr:nvSpPr>
      <xdr:spPr>
        <a:xfrm>
          <a:off x="9065419" y="3743326"/>
          <a:ext cx="1304925" cy="24526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5. Production</a:t>
          </a:r>
          <a:r>
            <a:rPr lang="en-US" sz="1100" baseline="0"/>
            <a:t> Date</a:t>
          </a:r>
          <a:endParaRPr lang="en-US" sz="1100"/>
        </a:p>
      </xdr:txBody>
    </xdr:sp>
    <xdr:clientData/>
  </xdr:twoCellAnchor>
  <xdr:twoCellAnchor>
    <xdr:from>
      <xdr:col>10</xdr:col>
      <xdr:colOff>335757</xdr:colOff>
      <xdr:row>7</xdr:row>
      <xdr:rowOff>71437</xdr:rowOff>
    </xdr:from>
    <xdr:to>
      <xdr:col>13</xdr:col>
      <xdr:colOff>416719</xdr:colOff>
      <xdr:row>8</xdr:row>
      <xdr:rowOff>147638</xdr:rowOff>
    </xdr:to>
    <xdr:sp macro="" textlink="">
      <xdr:nvSpPr>
        <xdr:cNvPr id="27" name="TextBox 26"/>
        <xdr:cNvSpPr txBox="1"/>
      </xdr:nvSpPr>
      <xdr:spPr>
        <a:xfrm>
          <a:off x="8146257" y="1416843"/>
          <a:ext cx="1295400" cy="26670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5. Production Date</a:t>
          </a:r>
        </a:p>
      </xdr:txBody>
    </xdr:sp>
    <xdr:clientData/>
  </xdr:twoCellAnchor>
  <xdr:twoCellAnchor>
    <xdr:from>
      <xdr:col>20</xdr:col>
      <xdr:colOff>521493</xdr:colOff>
      <xdr:row>5</xdr:row>
      <xdr:rowOff>4762</xdr:rowOff>
    </xdr:from>
    <xdr:to>
      <xdr:col>23</xdr:col>
      <xdr:colOff>845343</xdr:colOff>
      <xdr:row>7</xdr:row>
      <xdr:rowOff>69055</xdr:rowOff>
    </xdr:to>
    <xdr:sp macro="" textlink="">
      <xdr:nvSpPr>
        <xdr:cNvPr id="28" name="TextBox 27"/>
        <xdr:cNvSpPr txBox="1"/>
      </xdr:nvSpPr>
      <xdr:spPr>
        <a:xfrm>
          <a:off x="12475368" y="969168"/>
          <a:ext cx="2097881" cy="44529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3. Left days of month excuding weekly off and holiday</a:t>
          </a:r>
        </a:p>
      </xdr:txBody>
    </xdr:sp>
    <xdr:clientData/>
  </xdr:twoCellAnchor>
  <xdr:twoCellAnchor>
    <xdr:from>
      <xdr:col>4</xdr:col>
      <xdr:colOff>369093</xdr:colOff>
      <xdr:row>25</xdr:row>
      <xdr:rowOff>35721</xdr:rowOff>
    </xdr:from>
    <xdr:to>
      <xdr:col>6</xdr:col>
      <xdr:colOff>428624</xdr:colOff>
      <xdr:row>27</xdr:row>
      <xdr:rowOff>102395</xdr:rowOff>
    </xdr:to>
    <xdr:sp macro="" textlink="">
      <xdr:nvSpPr>
        <xdr:cNvPr id="29" name="TextBox 28"/>
        <xdr:cNvSpPr txBox="1"/>
      </xdr:nvSpPr>
      <xdr:spPr>
        <a:xfrm>
          <a:off x="3178968" y="4810127"/>
          <a:ext cx="1654969" cy="4476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16. Total monthly Targat and Actual Production</a:t>
          </a:r>
          <a:r>
            <a:rPr lang="en-US" sz="1100" baseline="0"/>
            <a:t> count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16668</xdr:rowOff>
    </xdr:from>
    <xdr:to>
      <xdr:col>2</xdr:col>
      <xdr:colOff>583406</xdr:colOff>
      <xdr:row>4</xdr:row>
      <xdr:rowOff>187105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000" b="37500"/>
        <a:stretch>
          <a:fillRect/>
        </a:stretch>
      </xdr:blipFill>
      <xdr:spPr>
        <a:xfrm>
          <a:off x="9525" y="407193"/>
          <a:ext cx="1869281" cy="551437"/>
        </a:xfrm>
        <a:prstGeom prst="rect">
          <a:avLst/>
        </a:prstGeom>
      </xdr:spPr>
    </xdr:pic>
    <xdr:clientData/>
  </xdr:twoCellAnchor>
  <xdr:twoCellAnchor>
    <xdr:from>
      <xdr:col>9</xdr:col>
      <xdr:colOff>714376</xdr:colOff>
      <xdr:row>2</xdr:row>
      <xdr:rowOff>95249</xdr:rowOff>
    </xdr:from>
    <xdr:to>
      <xdr:col>14</xdr:col>
      <xdr:colOff>440532</xdr:colOff>
      <xdr:row>3</xdr:row>
      <xdr:rowOff>130968</xdr:rowOff>
    </xdr:to>
    <xdr:sp macro="" textlink="">
      <xdr:nvSpPr>
        <xdr:cNvPr id="4" name="TextBox 3"/>
        <xdr:cNvSpPr txBox="1"/>
      </xdr:nvSpPr>
      <xdr:spPr>
        <a:xfrm>
          <a:off x="7691439" y="488155"/>
          <a:ext cx="2226468" cy="22621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SCADA</a:t>
          </a:r>
          <a:r>
            <a:rPr lang="en-US" sz="1100" baseline="0"/>
            <a:t> screen for report execution</a:t>
          </a:r>
          <a:endParaRPr lang="en-US" sz="1100"/>
        </a:p>
      </xdr:txBody>
    </xdr:sp>
    <xdr:clientData/>
  </xdr:twoCellAnchor>
  <xdr:twoCellAnchor>
    <xdr:from>
      <xdr:col>10</xdr:col>
      <xdr:colOff>154781</xdr:colOff>
      <xdr:row>3</xdr:row>
      <xdr:rowOff>173832</xdr:rowOff>
    </xdr:from>
    <xdr:to>
      <xdr:col>14</xdr:col>
      <xdr:colOff>438149</xdr:colOff>
      <xdr:row>6</xdr:row>
      <xdr:rowOff>47625</xdr:rowOff>
    </xdr:to>
    <xdr:sp macro="" textlink="">
      <xdr:nvSpPr>
        <xdr:cNvPr id="5" name="TextBox 4"/>
        <xdr:cNvSpPr txBox="1"/>
      </xdr:nvSpPr>
      <xdr:spPr>
        <a:xfrm>
          <a:off x="7965281" y="757238"/>
          <a:ext cx="1950243" cy="445293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Month</a:t>
          </a:r>
          <a:r>
            <a:rPr lang="en-US" sz="1100" baseline="0"/>
            <a:t> weekly off and holiday entry screen on SCADA</a:t>
          </a:r>
          <a:endParaRPr lang="en-US" sz="1100"/>
        </a:p>
      </xdr:txBody>
    </xdr:sp>
    <xdr:clientData/>
  </xdr:twoCellAnchor>
  <xdr:twoCellAnchor>
    <xdr:from>
      <xdr:col>12</xdr:col>
      <xdr:colOff>361949</xdr:colOff>
      <xdr:row>10</xdr:row>
      <xdr:rowOff>171452</xdr:rowOff>
    </xdr:from>
    <xdr:to>
      <xdr:col>15</xdr:col>
      <xdr:colOff>250030</xdr:colOff>
      <xdr:row>14</xdr:row>
      <xdr:rowOff>35720</xdr:rowOff>
    </xdr:to>
    <xdr:sp macro="" textlink="">
      <xdr:nvSpPr>
        <xdr:cNvPr id="15" name="TextBox 14"/>
        <xdr:cNvSpPr txBox="1"/>
      </xdr:nvSpPr>
      <xdr:spPr>
        <a:xfrm>
          <a:off x="8982074" y="2085977"/>
          <a:ext cx="1193006" cy="62626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Today's Plan and Actual value with Trigger</a:t>
          </a:r>
        </a:p>
      </xdr:txBody>
    </xdr:sp>
    <xdr:clientData/>
  </xdr:twoCellAnchor>
  <xdr:twoCellAnchor>
    <xdr:from>
      <xdr:col>9</xdr:col>
      <xdr:colOff>607218</xdr:colOff>
      <xdr:row>32</xdr:row>
      <xdr:rowOff>23813</xdr:rowOff>
    </xdr:from>
    <xdr:to>
      <xdr:col>12</xdr:col>
      <xdr:colOff>369094</xdr:colOff>
      <xdr:row>35</xdr:row>
      <xdr:rowOff>130969</xdr:rowOff>
    </xdr:to>
    <xdr:sp macro="" textlink="">
      <xdr:nvSpPr>
        <xdr:cNvPr id="17" name="TextBox 16"/>
        <xdr:cNvSpPr txBox="1"/>
      </xdr:nvSpPr>
      <xdr:spPr>
        <a:xfrm>
          <a:off x="7584281" y="6512719"/>
          <a:ext cx="1404938" cy="67865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Today's Station call loss Min logic (call min above takt time</a:t>
          </a:r>
        </a:p>
      </xdr:txBody>
    </xdr:sp>
    <xdr:clientData/>
  </xdr:twoCellAnchor>
  <xdr:twoCellAnchor>
    <xdr:from>
      <xdr:col>21</xdr:col>
      <xdr:colOff>30957</xdr:colOff>
      <xdr:row>31</xdr:row>
      <xdr:rowOff>19050</xdr:rowOff>
    </xdr:from>
    <xdr:to>
      <xdr:col>23</xdr:col>
      <xdr:colOff>23813</xdr:colOff>
      <xdr:row>34</xdr:row>
      <xdr:rowOff>57150</xdr:rowOff>
    </xdr:to>
    <xdr:sp macro="" textlink="">
      <xdr:nvSpPr>
        <xdr:cNvPr id="19" name="TextBox 18"/>
        <xdr:cNvSpPr txBox="1"/>
      </xdr:nvSpPr>
      <xdr:spPr>
        <a:xfrm>
          <a:off x="12568238" y="6317456"/>
          <a:ext cx="1183481" cy="6096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Today's Station Availability calculation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in PLC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838201</xdr:colOff>
      <xdr:row>32</xdr:row>
      <xdr:rowOff>28580</xdr:rowOff>
    </xdr:from>
    <xdr:to>
      <xdr:col>5</xdr:col>
      <xdr:colOff>47625</xdr:colOff>
      <xdr:row>36</xdr:row>
      <xdr:rowOff>59531</xdr:rowOff>
    </xdr:to>
    <xdr:sp macro="" textlink="">
      <xdr:nvSpPr>
        <xdr:cNvPr id="20" name="TextBox 19"/>
        <xdr:cNvSpPr txBox="1"/>
      </xdr:nvSpPr>
      <xdr:spPr>
        <a:xfrm>
          <a:off x="2731295" y="6517486"/>
          <a:ext cx="840580" cy="79295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Today's Shift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time calculation logic 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809625</xdr:colOff>
      <xdr:row>32</xdr:row>
      <xdr:rowOff>14288</xdr:rowOff>
    </xdr:from>
    <xdr:to>
      <xdr:col>7</xdr:col>
      <xdr:colOff>785814</xdr:colOff>
      <xdr:row>37</xdr:row>
      <xdr:rowOff>11906</xdr:rowOff>
    </xdr:to>
    <xdr:sp macro="" textlink="">
      <xdr:nvSpPr>
        <xdr:cNvPr id="21" name="TextBox 20"/>
        <xdr:cNvSpPr txBox="1"/>
      </xdr:nvSpPr>
      <xdr:spPr>
        <a:xfrm>
          <a:off x="5214938" y="6503194"/>
          <a:ext cx="821532" cy="95011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Today's Station Prod Loss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Calculation In PLC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250032</xdr:colOff>
      <xdr:row>32</xdr:row>
      <xdr:rowOff>11906</xdr:rowOff>
    </xdr:from>
    <xdr:to>
      <xdr:col>2</xdr:col>
      <xdr:colOff>369095</xdr:colOff>
      <xdr:row>34</xdr:row>
      <xdr:rowOff>83343</xdr:rowOff>
    </xdr:to>
    <xdr:sp macro="" textlink="">
      <xdr:nvSpPr>
        <xdr:cNvPr id="22" name="TextBox 21"/>
        <xdr:cNvSpPr txBox="1"/>
      </xdr:nvSpPr>
      <xdr:spPr>
        <a:xfrm>
          <a:off x="250032" y="6500812"/>
          <a:ext cx="1416844" cy="45243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Today's Shift details Logic with trigger</a:t>
          </a:r>
        </a:p>
      </xdr:txBody>
    </xdr:sp>
    <xdr:clientData/>
  </xdr:twoCellAnchor>
  <xdr:twoCellAnchor>
    <xdr:from>
      <xdr:col>12</xdr:col>
      <xdr:colOff>361949</xdr:colOff>
      <xdr:row>10</xdr:row>
      <xdr:rowOff>169071</xdr:rowOff>
    </xdr:from>
    <xdr:to>
      <xdr:col>15</xdr:col>
      <xdr:colOff>250030</xdr:colOff>
      <xdr:row>14</xdr:row>
      <xdr:rowOff>33339</xdr:rowOff>
    </xdr:to>
    <xdr:sp macro="" textlink="">
      <xdr:nvSpPr>
        <xdr:cNvPr id="29" name="TextBox 28"/>
        <xdr:cNvSpPr txBox="1"/>
      </xdr:nvSpPr>
      <xdr:spPr>
        <a:xfrm>
          <a:off x="8982074" y="2085977"/>
          <a:ext cx="1197769" cy="62626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Today's Plan and Actual value with Trigger</a:t>
          </a:r>
        </a:p>
      </xdr:txBody>
    </xdr:sp>
    <xdr:clientData/>
  </xdr:twoCellAnchor>
  <xdr:twoCellAnchor>
    <xdr:from>
      <xdr:col>13</xdr:col>
      <xdr:colOff>26192</xdr:colOff>
      <xdr:row>18</xdr:row>
      <xdr:rowOff>35721</xdr:rowOff>
    </xdr:from>
    <xdr:to>
      <xdr:col>16</xdr:col>
      <xdr:colOff>47625</xdr:colOff>
      <xdr:row>20</xdr:row>
      <xdr:rowOff>95250</xdr:rowOff>
    </xdr:to>
    <xdr:sp macro="" textlink="">
      <xdr:nvSpPr>
        <xdr:cNvPr id="30" name="TextBox 29"/>
        <xdr:cNvSpPr txBox="1"/>
      </xdr:nvSpPr>
      <xdr:spPr>
        <a:xfrm>
          <a:off x="9051130" y="3476627"/>
          <a:ext cx="1331120" cy="44052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Today's Actual BIW value with Trigger</a:t>
          </a:r>
        </a:p>
      </xdr:txBody>
    </xdr:sp>
    <xdr:clientData/>
  </xdr:twoCellAnchor>
  <xdr:twoCellAnchor>
    <xdr:from>
      <xdr:col>13</xdr:col>
      <xdr:colOff>35717</xdr:colOff>
      <xdr:row>25</xdr:row>
      <xdr:rowOff>33339</xdr:rowOff>
    </xdr:from>
    <xdr:to>
      <xdr:col>16</xdr:col>
      <xdr:colOff>57150</xdr:colOff>
      <xdr:row>27</xdr:row>
      <xdr:rowOff>92868</xdr:rowOff>
    </xdr:to>
    <xdr:sp macro="" textlink="">
      <xdr:nvSpPr>
        <xdr:cNvPr id="31" name="TextBox 30"/>
        <xdr:cNvSpPr txBox="1"/>
      </xdr:nvSpPr>
      <xdr:spPr>
        <a:xfrm>
          <a:off x="9060655" y="4807745"/>
          <a:ext cx="1331120" cy="44052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Today's Actual BIW value with Trigger</a:t>
          </a:r>
        </a:p>
      </xdr:txBody>
    </xdr:sp>
    <xdr:clientData/>
  </xdr:twoCellAnchor>
  <xdr:twoCellAnchor>
    <xdr:from>
      <xdr:col>16</xdr:col>
      <xdr:colOff>33339</xdr:colOff>
      <xdr:row>32</xdr:row>
      <xdr:rowOff>21429</xdr:rowOff>
    </xdr:from>
    <xdr:to>
      <xdr:col>18</xdr:col>
      <xdr:colOff>392906</xdr:colOff>
      <xdr:row>36</xdr:row>
      <xdr:rowOff>47625</xdr:rowOff>
    </xdr:to>
    <xdr:sp macro="" textlink="">
      <xdr:nvSpPr>
        <xdr:cNvPr id="32" name="TextBox 31"/>
        <xdr:cNvSpPr txBox="1"/>
      </xdr:nvSpPr>
      <xdr:spPr>
        <a:xfrm>
          <a:off x="10367964" y="6510335"/>
          <a:ext cx="1240630" cy="78819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Remark entry</a:t>
          </a:r>
          <a:r>
            <a:rPr lang="en-US" sz="1100" baseline="0"/>
            <a:t> field in TAB screen and Tag generation in SCADA</a:t>
          </a:r>
          <a:endParaRPr lang="en-US" sz="1100"/>
        </a:p>
      </xdr:txBody>
    </xdr:sp>
    <xdr:clientData/>
  </xdr:twoCellAnchor>
  <xdr:twoCellAnchor>
    <xdr:from>
      <xdr:col>4</xdr:col>
      <xdr:colOff>495301</xdr:colOff>
      <xdr:row>37</xdr:row>
      <xdr:rowOff>90484</xdr:rowOff>
    </xdr:from>
    <xdr:to>
      <xdr:col>6</xdr:col>
      <xdr:colOff>273842</xdr:colOff>
      <xdr:row>39</xdr:row>
      <xdr:rowOff>166686</xdr:rowOff>
    </xdr:to>
    <xdr:sp macro="" textlink="">
      <xdr:nvSpPr>
        <xdr:cNvPr id="33" name="TextBox 32"/>
        <xdr:cNvSpPr txBox="1"/>
      </xdr:nvSpPr>
      <xdr:spPr>
        <a:xfrm>
          <a:off x="3305176" y="7531890"/>
          <a:ext cx="1373979" cy="45720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Plan Down time entry field</a:t>
          </a:r>
          <a:r>
            <a:rPr lang="en-US" sz="1100" baseline="0"/>
            <a:t> in SCADA</a:t>
          </a:r>
          <a:endParaRPr lang="en-US" sz="1100"/>
        </a:p>
      </xdr:txBody>
    </xdr:sp>
    <xdr:clientData/>
  </xdr:twoCellAnchor>
  <xdr:twoCellAnchor>
    <xdr:from>
      <xdr:col>3</xdr:col>
      <xdr:colOff>823914</xdr:colOff>
      <xdr:row>25</xdr:row>
      <xdr:rowOff>97637</xdr:rowOff>
    </xdr:from>
    <xdr:to>
      <xdr:col>5</xdr:col>
      <xdr:colOff>369094</xdr:colOff>
      <xdr:row>29</xdr:row>
      <xdr:rowOff>142875</xdr:rowOff>
    </xdr:to>
    <xdr:sp macro="" textlink="">
      <xdr:nvSpPr>
        <xdr:cNvPr id="34" name="TextBox 33"/>
        <xdr:cNvSpPr txBox="1"/>
      </xdr:nvSpPr>
      <xdr:spPr>
        <a:xfrm>
          <a:off x="2717008" y="4872043"/>
          <a:ext cx="1176336" cy="80723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Shift TIme = Shift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toal time - lunch time - Plan down time</a:t>
          </a:r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8"/>
  <sheetViews>
    <sheetView tabSelected="1" topLeftCell="A22" zoomScale="80" zoomScaleNormal="80" workbookViewId="0">
      <selection activeCell="X37" sqref="X37"/>
    </sheetView>
  </sheetViews>
  <sheetFormatPr defaultColWidth="9" defaultRowHeight="15"/>
  <cols>
    <col min="1" max="1" width="8.5703125" customWidth="1"/>
    <col min="2" max="2" width="10.85546875" customWidth="1"/>
    <col min="3" max="3" width="8.85546875" customWidth="1"/>
    <col min="4" max="4" width="13.7109375" customWidth="1"/>
    <col min="5" max="5" width="10.7109375" customWidth="1"/>
    <col min="6" max="6" width="13.140625" customWidth="1"/>
    <col min="7" max="7" width="12.7109375" customWidth="1"/>
    <col min="8" max="8" width="12" customWidth="1"/>
    <col min="9" max="9" width="14" customWidth="1"/>
    <col min="10" max="10" width="12.5703125" customWidth="1"/>
    <col min="11" max="11" width="6" customWidth="1"/>
    <col min="12" max="12" width="6.140625" customWidth="1"/>
    <col min="13" max="13" width="6" customWidth="1"/>
    <col min="14" max="14" width="6.7109375" customWidth="1"/>
    <col min="15" max="15" width="6.85546875" customWidth="1"/>
    <col min="16" max="16" width="6" customWidth="1"/>
    <col min="17" max="18" width="6.5703125" customWidth="1"/>
    <col min="19" max="19" width="6.140625" customWidth="1"/>
    <col min="20" max="20" width="5" customWidth="1"/>
    <col min="21" max="21" width="8.7109375" customWidth="1"/>
    <col min="24" max="24" width="32.28515625" bestFit="1" customWidth="1"/>
  </cols>
  <sheetData>
    <row r="1" spans="1:21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</row>
    <row r="2" spans="1:21" ht="15.75" thickBo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spans="1:2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spans="1:21" ht="15" customHeight="1">
      <c r="A4" s="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132" t="s">
        <v>1</v>
      </c>
      <c r="Q4" s="132"/>
      <c r="R4" s="132"/>
      <c r="S4" s="132"/>
      <c r="T4" s="132"/>
      <c r="U4" s="8">
        <f>Monthly!C12</f>
        <v>0</v>
      </c>
    </row>
    <row r="5" spans="1:21" ht="15" customHeight="1">
      <c r="A5" s="6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31" t="s">
        <v>2</v>
      </c>
      <c r="Q5" s="132"/>
      <c r="R5" s="132"/>
      <c r="S5" s="132"/>
      <c r="T5" s="132"/>
      <c r="U5" s="9">
        <f>Daily!L3</f>
        <v>0</v>
      </c>
    </row>
    <row r="6" spans="1:21">
      <c r="A6" s="59" t="s">
        <v>141</v>
      </c>
      <c r="B6" s="129" t="s">
        <v>3</v>
      </c>
      <c r="C6" s="130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31" t="s">
        <v>4</v>
      </c>
      <c r="Q6" s="132"/>
      <c r="R6" s="132"/>
      <c r="S6" s="132"/>
      <c r="T6" s="132"/>
      <c r="U6" s="9">
        <f>Daily!M3</f>
        <v>0</v>
      </c>
    </row>
    <row r="7" spans="1:21">
      <c r="A7" s="59" t="s">
        <v>142</v>
      </c>
      <c r="B7" s="133">
        <v>0.9375</v>
      </c>
      <c r="C7" s="130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10"/>
      <c r="T7" s="10"/>
      <c r="U7" s="11"/>
    </row>
    <row r="8" spans="1:21">
      <c r="A8" s="149"/>
      <c r="B8" s="150"/>
      <c r="C8" s="150"/>
      <c r="D8" s="151"/>
      <c r="E8" s="107" t="s">
        <v>5</v>
      </c>
      <c r="F8" s="107"/>
      <c r="G8" s="107"/>
      <c r="H8" s="102"/>
      <c r="I8" s="107" t="s">
        <v>6</v>
      </c>
      <c r="J8" s="107"/>
      <c r="K8" s="107"/>
      <c r="L8" s="107"/>
      <c r="M8" s="107"/>
      <c r="N8" s="107" t="s">
        <v>7</v>
      </c>
      <c r="O8" s="107"/>
      <c r="P8" s="107"/>
      <c r="Q8" s="107" t="s">
        <v>8</v>
      </c>
      <c r="R8" s="107"/>
      <c r="S8" s="107"/>
      <c r="T8" s="103" t="s">
        <v>9</v>
      </c>
      <c r="U8" s="13" t="s">
        <v>10</v>
      </c>
    </row>
    <row r="9" spans="1:21">
      <c r="A9" s="152"/>
      <c r="B9" s="153"/>
      <c r="C9" s="153"/>
      <c r="D9" s="154"/>
      <c r="E9" s="156">
        <f>Monthly!C12</f>
        <v>0</v>
      </c>
      <c r="F9" s="107"/>
      <c r="G9" s="107"/>
      <c r="H9" s="102"/>
      <c r="I9" s="107" t="s">
        <v>11</v>
      </c>
      <c r="J9" s="107"/>
      <c r="K9" s="107"/>
      <c r="L9" s="107"/>
      <c r="M9" s="107"/>
      <c r="N9" s="134">
        <f>Daily!C3</f>
        <v>0</v>
      </c>
      <c r="O9" s="107"/>
      <c r="P9" s="107"/>
      <c r="Q9" s="134">
        <f>Daily!C13</f>
        <v>0</v>
      </c>
      <c r="R9" s="107"/>
      <c r="S9" s="107"/>
      <c r="T9" s="103">
        <f>YTD!C12</f>
        <v>0</v>
      </c>
      <c r="U9" s="14">
        <f>PrevFY!C12</f>
        <v>0</v>
      </c>
    </row>
    <row r="10" spans="1:21">
      <c r="A10" s="155" t="s">
        <v>12</v>
      </c>
      <c r="B10" s="136"/>
      <c r="C10" s="136"/>
      <c r="D10" s="137"/>
      <c r="E10" s="102" t="s">
        <v>13</v>
      </c>
      <c r="F10" s="102" t="s">
        <v>14</v>
      </c>
      <c r="G10" s="102" t="s">
        <v>15</v>
      </c>
      <c r="H10" s="102"/>
      <c r="I10" s="102" t="s">
        <v>16</v>
      </c>
      <c r="J10" s="102" t="s">
        <v>17</v>
      </c>
      <c r="K10" s="102" t="s">
        <v>18</v>
      </c>
      <c r="L10" s="102" t="s">
        <v>19</v>
      </c>
      <c r="M10" s="102" t="s">
        <v>20</v>
      </c>
      <c r="N10" s="102" t="s">
        <v>13</v>
      </c>
      <c r="O10" s="102" t="s">
        <v>14</v>
      </c>
      <c r="P10" s="102" t="s">
        <v>15</v>
      </c>
      <c r="Q10" s="102" t="s">
        <v>13</v>
      </c>
      <c r="R10" s="102" t="s">
        <v>14</v>
      </c>
      <c r="S10" s="102" t="s">
        <v>15</v>
      </c>
      <c r="T10" s="102" t="s">
        <v>14</v>
      </c>
      <c r="U10" s="14" t="s">
        <v>14</v>
      </c>
    </row>
    <row r="11" spans="1:21">
      <c r="A11" s="195" t="s">
        <v>241</v>
      </c>
      <c r="B11" s="196"/>
      <c r="C11" s="196"/>
      <c r="D11" s="197"/>
      <c r="E11" s="36">
        <f>Monthly!D12</f>
        <v>0</v>
      </c>
      <c r="F11" s="36">
        <f>Monthly!E12</f>
        <v>0</v>
      </c>
      <c r="G11" s="96">
        <f>Monthly!F12</f>
        <v>0</v>
      </c>
      <c r="H11" s="96"/>
      <c r="I11" s="96">
        <f>Weely!E12</f>
        <v>0</v>
      </c>
      <c r="J11" s="96">
        <f>Weely!G12</f>
        <v>0</v>
      </c>
      <c r="K11" s="96">
        <f>Weely!I12</f>
        <v>0</v>
      </c>
      <c r="L11" s="96">
        <f>Weely!K12</f>
        <v>0</v>
      </c>
      <c r="M11" s="96">
        <f>Weely!M12</f>
        <v>0</v>
      </c>
      <c r="N11" s="41">
        <f>Daily!D13</f>
        <v>0</v>
      </c>
      <c r="O11" s="41">
        <f>Daily!E13</f>
        <v>0</v>
      </c>
      <c r="P11" s="96">
        <f>Daily!F13</f>
        <v>0</v>
      </c>
      <c r="Q11" s="96">
        <f>MTD!D12</f>
        <v>0</v>
      </c>
      <c r="R11" s="96">
        <f>MTD!E12</f>
        <v>0</v>
      </c>
      <c r="S11" s="96">
        <f>MTD!F12</f>
        <v>0</v>
      </c>
      <c r="T11" s="96">
        <f>YTD!E12</f>
        <v>0</v>
      </c>
      <c r="U11" s="15">
        <f>PrevFY!E12</f>
        <v>0</v>
      </c>
    </row>
    <row r="12" spans="1:21">
      <c r="A12" s="140" t="s">
        <v>21</v>
      </c>
      <c r="B12" s="141"/>
      <c r="C12" s="141"/>
      <c r="D12" s="142"/>
      <c r="E12" s="36">
        <f>Monthly!D3</f>
        <v>0</v>
      </c>
      <c r="F12" s="36">
        <f>Monthly!E3</f>
        <v>0</v>
      </c>
      <c r="G12" s="96">
        <f>Monthly!F3</f>
        <v>0</v>
      </c>
      <c r="H12" s="96"/>
      <c r="I12" s="96">
        <f>Weely!E3</f>
        <v>0</v>
      </c>
      <c r="J12" s="96">
        <f>Weely!G3</f>
        <v>0</v>
      </c>
      <c r="K12" s="96">
        <f>Weely!I3</f>
        <v>0</v>
      </c>
      <c r="L12" s="96">
        <f>Weely!K3</f>
        <v>0</v>
      </c>
      <c r="M12" s="96">
        <f>Weely!M3</f>
        <v>0</v>
      </c>
      <c r="N12" s="41">
        <f>Daily!D3</f>
        <v>0</v>
      </c>
      <c r="O12" s="41">
        <f>Daily!E3</f>
        <v>0</v>
      </c>
      <c r="P12" s="96">
        <f>Daily!F3</f>
        <v>0</v>
      </c>
      <c r="Q12" s="96">
        <f>MTD!D3</f>
        <v>0</v>
      </c>
      <c r="R12" s="96">
        <f>MTD!E3</f>
        <v>0</v>
      </c>
      <c r="S12" s="96">
        <f>MTD!F3</f>
        <v>0</v>
      </c>
      <c r="T12" s="96">
        <f>YTD!E3</f>
        <v>0</v>
      </c>
      <c r="U12" s="15">
        <f>PrevFY!E3</f>
        <v>0</v>
      </c>
    </row>
    <row r="13" spans="1:21">
      <c r="A13" s="140" t="s">
        <v>117</v>
      </c>
      <c r="B13" s="141"/>
      <c r="C13" s="141"/>
      <c r="D13" s="142"/>
      <c r="E13" s="36">
        <f>Monthly!D4</f>
        <v>0</v>
      </c>
      <c r="F13" s="36">
        <f>Monthly!E4</f>
        <v>0</v>
      </c>
      <c r="G13" s="96">
        <f>Monthly!F4</f>
        <v>0</v>
      </c>
      <c r="H13" s="104"/>
      <c r="I13" s="96">
        <f>Weely!E4</f>
        <v>0</v>
      </c>
      <c r="J13" s="96">
        <f>Weely!G4</f>
        <v>0</v>
      </c>
      <c r="K13" s="96">
        <f>Weely!I4</f>
        <v>0</v>
      </c>
      <c r="L13" s="96">
        <f>Weely!K4</f>
        <v>0</v>
      </c>
      <c r="M13" s="96">
        <f>Weely!M4</f>
        <v>0</v>
      </c>
      <c r="N13" s="41">
        <f>Daily!D4</f>
        <v>0</v>
      </c>
      <c r="O13" s="41">
        <f>Daily!E4</f>
        <v>0</v>
      </c>
      <c r="P13" s="96">
        <f>Daily!F4</f>
        <v>0</v>
      </c>
      <c r="Q13" s="96">
        <f>MTD!D4</f>
        <v>0</v>
      </c>
      <c r="R13" s="96">
        <f>MTD!E4</f>
        <v>0</v>
      </c>
      <c r="S13" s="96">
        <f>MTD!F4</f>
        <v>0</v>
      </c>
      <c r="T13" s="96">
        <f>YTD!E4</f>
        <v>0</v>
      </c>
      <c r="U13" s="15">
        <f>PrevFY!E4</f>
        <v>0</v>
      </c>
    </row>
    <row r="14" spans="1:21">
      <c r="A14" s="140" t="s">
        <v>118</v>
      </c>
      <c r="B14" s="141"/>
      <c r="C14" s="141"/>
      <c r="D14" s="142"/>
      <c r="E14" s="36">
        <f>Monthly!D5</f>
        <v>0</v>
      </c>
      <c r="F14" s="36">
        <f>Monthly!E5</f>
        <v>0</v>
      </c>
      <c r="G14" s="96">
        <f>Monthly!F5</f>
        <v>0</v>
      </c>
      <c r="H14" s="104"/>
      <c r="I14" s="96">
        <f>Weely!E5</f>
        <v>0</v>
      </c>
      <c r="J14" s="96">
        <f>Weely!G5</f>
        <v>0</v>
      </c>
      <c r="K14" s="96">
        <f>Weely!I5</f>
        <v>0</v>
      </c>
      <c r="L14" s="96">
        <f>Weely!K5</f>
        <v>0</v>
      </c>
      <c r="M14" s="96">
        <f>Weely!M5</f>
        <v>0</v>
      </c>
      <c r="N14" s="41">
        <f>Daily!D5</f>
        <v>0</v>
      </c>
      <c r="O14" s="41">
        <f>Daily!E5</f>
        <v>0</v>
      </c>
      <c r="P14" s="96">
        <f>Daily!F5</f>
        <v>0</v>
      </c>
      <c r="Q14" s="96">
        <f>MTD!D5</f>
        <v>0</v>
      </c>
      <c r="R14" s="96">
        <f>MTD!E5</f>
        <v>0</v>
      </c>
      <c r="S14" s="96">
        <f>MTD!F5</f>
        <v>0</v>
      </c>
      <c r="T14" s="96">
        <f>YTD!E5</f>
        <v>0</v>
      </c>
      <c r="U14" s="15">
        <f>PrevFY!E5</f>
        <v>0</v>
      </c>
    </row>
    <row r="15" spans="1:21">
      <c r="A15" s="143"/>
      <c r="B15" s="144"/>
      <c r="C15" s="107" t="s">
        <v>143</v>
      </c>
      <c r="D15" s="107"/>
      <c r="E15" s="145">
        <f>Monthly!C12</f>
        <v>0</v>
      </c>
      <c r="F15" s="136"/>
      <c r="G15" s="136"/>
      <c r="H15" s="137"/>
      <c r="I15" s="107" t="s">
        <v>244</v>
      </c>
      <c r="J15" s="107"/>
      <c r="K15" s="107"/>
      <c r="L15" s="107"/>
      <c r="M15" s="107"/>
      <c r="N15" s="135">
        <f>Daily!C13</f>
        <v>0</v>
      </c>
      <c r="O15" s="136"/>
      <c r="P15" s="137"/>
      <c r="Q15" s="16"/>
      <c r="R15" s="17"/>
      <c r="S15" s="17"/>
      <c r="T15" s="17"/>
      <c r="U15" s="18"/>
    </row>
    <row r="16" spans="1:21">
      <c r="A16" s="146" t="s">
        <v>22</v>
      </c>
      <c r="B16" s="147"/>
      <c r="C16" s="198" t="s">
        <v>243</v>
      </c>
      <c r="D16" s="102" t="s">
        <v>24</v>
      </c>
      <c r="E16" s="198" t="s">
        <v>243</v>
      </c>
      <c r="F16" s="102" t="s">
        <v>24</v>
      </c>
      <c r="G16" s="199" t="s">
        <v>242</v>
      </c>
      <c r="H16" s="19" t="s">
        <v>145</v>
      </c>
      <c r="I16" s="102" t="s">
        <v>16</v>
      </c>
      <c r="J16" s="102" t="s">
        <v>17</v>
      </c>
      <c r="K16" s="102" t="s">
        <v>18</v>
      </c>
      <c r="L16" s="102" t="s">
        <v>19</v>
      </c>
      <c r="M16" s="102" t="s">
        <v>20</v>
      </c>
      <c r="N16" s="102" t="s">
        <v>23</v>
      </c>
      <c r="O16" s="102" t="s">
        <v>24</v>
      </c>
      <c r="P16" s="102" t="s">
        <v>25</v>
      </c>
      <c r="Q16" s="20"/>
      <c r="R16" s="21"/>
      <c r="S16" s="21"/>
      <c r="T16" s="21"/>
      <c r="U16" s="18"/>
    </row>
    <row r="17" spans="1:26">
      <c r="A17" s="22" t="s">
        <v>26</v>
      </c>
      <c r="B17" s="23" t="s">
        <v>27</v>
      </c>
      <c r="C17" s="39">
        <f>PrevFY!E12</f>
        <v>0</v>
      </c>
      <c r="D17" s="39">
        <f>PrevFY!E3</f>
        <v>0</v>
      </c>
      <c r="E17" s="96">
        <f>Monthly!E12</f>
        <v>0</v>
      </c>
      <c r="F17" s="96">
        <f>Monthly!E3</f>
        <v>0</v>
      </c>
      <c r="G17" s="96">
        <f>YTD!E12</f>
        <v>0</v>
      </c>
      <c r="H17" s="96">
        <f>YTD!E3</f>
        <v>0</v>
      </c>
      <c r="I17" s="96">
        <f>Weely!E12</f>
        <v>0</v>
      </c>
      <c r="J17" s="96">
        <f>Weely!G12</f>
        <v>0</v>
      </c>
      <c r="K17" s="96">
        <f>Weely!I12</f>
        <v>0</v>
      </c>
      <c r="L17" s="96">
        <f>Weely!K12</f>
        <v>0</v>
      </c>
      <c r="M17" s="96">
        <f>Weely!M12</f>
        <v>0</v>
      </c>
      <c r="N17" s="96">
        <f>Daily!E13</f>
        <v>0</v>
      </c>
      <c r="O17" s="96">
        <f>Daily!E3</f>
        <v>0</v>
      </c>
      <c r="P17" s="96">
        <f>SUM(N17:O17)</f>
        <v>0</v>
      </c>
      <c r="Q17" s="20"/>
      <c r="R17" s="21"/>
      <c r="S17" s="21"/>
      <c r="T17" s="21"/>
      <c r="U17" s="18"/>
    </row>
    <row r="18" spans="1:26">
      <c r="A18" s="24" t="s">
        <v>28</v>
      </c>
      <c r="B18" s="23" t="s">
        <v>27</v>
      </c>
      <c r="C18" s="96">
        <f>PrevFY!E32</f>
        <v>0</v>
      </c>
      <c r="D18" s="96">
        <f>PrevFY!E22</f>
        <v>0</v>
      </c>
      <c r="E18" s="96">
        <f>Monthly!E32</f>
        <v>0</v>
      </c>
      <c r="F18" s="96">
        <f>Monthly!E22</f>
        <v>0</v>
      </c>
      <c r="G18" s="96">
        <f>YTD!E32</f>
        <v>0</v>
      </c>
      <c r="H18" s="96">
        <f>YTD!E22</f>
        <v>0</v>
      </c>
      <c r="I18" s="96">
        <f>Weely!E32</f>
        <v>0</v>
      </c>
      <c r="J18" s="96">
        <f>Weely!G32</f>
        <v>0</v>
      </c>
      <c r="K18" s="96">
        <f>Weely!I32</f>
        <v>0</v>
      </c>
      <c r="L18" s="96">
        <f>Weely!K32</f>
        <v>0</v>
      </c>
      <c r="M18" s="96">
        <f>Weely!M32</f>
        <v>0</v>
      </c>
      <c r="N18" s="41">
        <f>Daily!E32</f>
        <v>0</v>
      </c>
      <c r="O18" s="41">
        <f>Daily!E22</f>
        <v>0</v>
      </c>
      <c r="P18" s="96">
        <f>SUM(N18:O18)</f>
        <v>0</v>
      </c>
      <c r="Q18" s="21"/>
      <c r="R18" s="21"/>
      <c r="S18" s="21"/>
      <c r="T18" s="21"/>
      <c r="U18" s="18"/>
    </row>
    <row r="19" spans="1:26">
      <c r="A19" s="100"/>
      <c r="B19" s="101"/>
      <c r="C19" s="101"/>
      <c r="D19" s="101"/>
      <c r="E19" s="101"/>
      <c r="F19" s="101"/>
      <c r="G19" s="101"/>
      <c r="H19" s="101"/>
      <c r="I19" s="148" t="s">
        <v>29</v>
      </c>
      <c r="J19" s="136"/>
      <c r="K19" s="136"/>
      <c r="L19" s="136"/>
      <c r="M19" s="137"/>
      <c r="N19" s="101"/>
      <c r="O19" s="101"/>
      <c r="P19" s="101"/>
      <c r="Q19" s="101"/>
      <c r="R19" s="101"/>
      <c r="S19" s="101"/>
      <c r="T19" s="101"/>
      <c r="U19" s="25"/>
    </row>
    <row r="20" spans="1:26">
      <c r="A20" s="26"/>
      <c r="B20" s="27"/>
      <c r="C20" s="27"/>
      <c r="D20" s="27"/>
      <c r="E20" s="27"/>
      <c r="F20" s="27"/>
      <c r="G20" s="27"/>
      <c r="H20" s="27"/>
      <c r="I20" s="102" t="s">
        <v>16</v>
      </c>
      <c r="J20" s="102" t="s">
        <v>17</v>
      </c>
      <c r="K20" s="102" t="s">
        <v>18</v>
      </c>
      <c r="L20" s="102" t="s">
        <v>19</v>
      </c>
      <c r="M20" s="102" t="s">
        <v>20</v>
      </c>
      <c r="N20" s="27"/>
      <c r="O20" s="27"/>
      <c r="P20" s="27"/>
      <c r="Q20" s="27"/>
      <c r="R20" s="27"/>
      <c r="S20" s="27"/>
      <c r="T20" s="27"/>
      <c r="U20" s="28"/>
    </row>
    <row r="21" spans="1:26">
      <c r="A21" s="26"/>
      <c r="B21" s="27"/>
      <c r="C21" s="27"/>
      <c r="D21" s="27"/>
      <c r="E21" s="27"/>
      <c r="F21" s="27"/>
      <c r="G21" s="27"/>
      <c r="H21" s="29" t="s">
        <v>27</v>
      </c>
      <c r="I21" s="96">
        <f>Weely!E3</f>
        <v>0</v>
      </c>
      <c r="J21" s="96">
        <f>Weely!G3</f>
        <v>0</v>
      </c>
      <c r="K21" s="96">
        <f>Weely!I3</f>
        <v>0</v>
      </c>
      <c r="L21" s="96">
        <f>Weely!K3</f>
        <v>0</v>
      </c>
      <c r="M21" s="96">
        <f>Weely!M3</f>
        <v>0</v>
      </c>
      <c r="N21" s="27"/>
      <c r="O21" s="27"/>
      <c r="P21" s="27"/>
      <c r="Q21" s="27"/>
      <c r="R21" s="27"/>
      <c r="S21" s="27"/>
      <c r="T21" s="27"/>
      <c r="U21" s="28"/>
    </row>
    <row r="22" spans="1:26">
      <c r="A22" s="26"/>
      <c r="B22" s="27"/>
      <c r="C22" s="27"/>
      <c r="D22" s="27"/>
      <c r="E22" s="27"/>
      <c r="F22" s="27"/>
      <c r="G22" s="27"/>
      <c r="H22" s="27"/>
      <c r="I22" s="107" t="s">
        <v>119</v>
      </c>
      <c r="J22" s="107"/>
      <c r="K22" s="107"/>
      <c r="L22" s="107"/>
      <c r="M22" s="107"/>
      <c r="N22" s="135">
        <f>Daily!C20</f>
        <v>0</v>
      </c>
      <c r="O22" s="136"/>
      <c r="P22" s="137"/>
      <c r="Q22" s="27"/>
      <c r="R22" s="27"/>
      <c r="S22" s="27"/>
      <c r="T22" s="27"/>
      <c r="U22" s="28"/>
    </row>
    <row r="23" spans="1:26">
      <c r="A23" s="146" t="s">
        <v>22</v>
      </c>
      <c r="B23" s="147"/>
      <c r="C23" s="102" t="s">
        <v>117</v>
      </c>
      <c r="D23" s="102" t="s">
        <v>118</v>
      </c>
      <c r="E23" s="102" t="s">
        <v>117</v>
      </c>
      <c r="F23" s="102" t="s">
        <v>118</v>
      </c>
      <c r="G23" s="102" t="s">
        <v>146</v>
      </c>
      <c r="H23" s="102" t="s">
        <v>147</v>
      </c>
      <c r="I23" s="102" t="s">
        <v>16</v>
      </c>
      <c r="J23" s="102" t="s">
        <v>17</v>
      </c>
      <c r="K23" s="102" t="s">
        <v>18</v>
      </c>
      <c r="L23" s="102" t="s">
        <v>19</v>
      </c>
      <c r="M23" s="102" t="s">
        <v>20</v>
      </c>
      <c r="N23" s="102" t="s">
        <v>117</v>
      </c>
      <c r="O23" s="102" t="s">
        <v>118</v>
      </c>
      <c r="P23" s="102" t="s">
        <v>25</v>
      </c>
      <c r="Q23" s="20"/>
      <c r="R23" s="21"/>
      <c r="S23" s="21"/>
      <c r="T23" s="21"/>
      <c r="U23" s="18"/>
    </row>
    <row r="24" spans="1:26">
      <c r="A24" s="22" t="s">
        <v>26</v>
      </c>
      <c r="B24" s="23" t="s">
        <v>27</v>
      </c>
      <c r="C24" s="39">
        <f>PrevFY!E18</f>
        <v>0</v>
      </c>
      <c r="D24" s="39">
        <f>PrevFY!E9</f>
        <v>0</v>
      </c>
      <c r="E24" s="96">
        <f>Monthly!E18</f>
        <v>0</v>
      </c>
      <c r="F24" s="96">
        <f>Monthly!E9</f>
        <v>0</v>
      </c>
      <c r="G24" s="96">
        <f>YTD!E18</f>
        <v>0</v>
      </c>
      <c r="H24" s="96">
        <f>YTD!E9</f>
        <v>0</v>
      </c>
      <c r="I24" s="96">
        <f>Weely!E18</f>
        <v>0</v>
      </c>
      <c r="J24" s="96">
        <f>Weely!G18</f>
        <v>0</v>
      </c>
      <c r="K24" s="96">
        <f>Weely!I18</f>
        <v>0</v>
      </c>
      <c r="L24" s="96">
        <f>Weely!K18</f>
        <v>0</v>
      </c>
      <c r="M24" s="96">
        <f>Weely!M18</f>
        <v>0</v>
      </c>
      <c r="N24" s="96">
        <f>Daily!E19</f>
        <v>0</v>
      </c>
      <c r="O24" s="96">
        <f>Daily!E9</f>
        <v>0</v>
      </c>
      <c r="P24" s="96">
        <f>SUM(N24:O24)</f>
        <v>0</v>
      </c>
      <c r="Q24" s="20"/>
      <c r="R24" s="21"/>
      <c r="S24" s="21"/>
      <c r="T24" s="21"/>
      <c r="U24" s="18"/>
    </row>
    <row r="25" spans="1:26">
      <c r="A25" s="24" t="s">
        <v>28</v>
      </c>
      <c r="B25" s="23" t="s">
        <v>27</v>
      </c>
      <c r="C25" s="96">
        <f>PrevFY!E38</f>
        <v>0</v>
      </c>
      <c r="D25" s="96">
        <f>PrevFY!E28</f>
        <v>0</v>
      </c>
      <c r="E25" s="96">
        <f>Monthly!E38</f>
        <v>0</v>
      </c>
      <c r="F25" s="96">
        <f>Monthly!E28</f>
        <v>0</v>
      </c>
      <c r="G25" s="96">
        <f>YTD!E38</f>
        <v>0</v>
      </c>
      <c r="H25" s="96">
        <f>YTD!E28</f>
        <v>0</v>
      </c>
      <c r="I25" s="96">
        <f>Weely!E38</f>
        <v>0</v>
      </c>
      <c r="J25" s="96">
        <f>Weely!G38</f>
        <v>0</v>
      </c>
      <c r="K25" s="96">
        <f>Weely!I38</f>
        <v>0</v>
      </c>
      <c r="L25" s="96">
        <f>Weely!K38</f>
        <v>0</v>
      </c>
      <c r="M25" s="96">
        <f>Weely!M38</f>
        <v>0</v>
      </c>
      <c r="N25" s="41">
        <f>Daily!E38</f>
        <v>0</v>
      </c>
      <c r="O25" s="41">
        <f>Daily!E28</f>
        <v>0</v>
      </c>
      <c r="P25" s="96">
        <f>SUM(N25:O25)</f>
        <v>0</v>
      </c>
      <c r="Q25" s="21"/>
      <c r="R25" s="21"/>
      <c r="S25" s="21"/>
      <c r="T25" s="21"/>
      <c r="U25" s="18"/>
    </row>
    <row r="26" spans="1:26">
      <c r="A26" s="100"/>
      <c r="B26" s="101"/>
      <c r="C26" s="101"/>
      <c r="D26" s="101"/>
      <c r="E26" s="101"/>
      <c r="F26" s="101"/>
      <c r="G26" s="101"/>
      <c r="H26" s="101"/>
      <c r="I26" s="148" t="s">
        <v>120</v>
      </c>
      <c r="J26" s="136"/>
      <c r="K26" s="136"/>
      <c r="L26" s="136"/>
      <c r="M26" s="137"/>
      <c r="N26" s="101"/>
      <c r="O26" s="101"/>
      <c r="P26" s="101"/>
      <c r="Q26" s="101"/>
      <c r="R26" s="101"/>
      <c r="S26" s="101"/>
      <c r="T26" s="101"/>
      <c r="U26" s="25"/>
    </row>
    <row r="27" spans="1:26">
      <c r="A27" s="26"/>
      <c r="B27" s="27"/>
      <c r="C27" s="27"/>
      <c r="D27" s="27"/>
      <c r="E27" s="27"/>
      <c r="F27" s="27"/>
      <c r="G27" s="27"/>
      <c r="H27" s="27"/>
      <c r="I27" s="102" t="s">
        <v>16</v>
      </c>
      <c r="J27" s="102" t="s">
        <v>17</v>
      </c>
      <c r="K27" s="102" t="s">
        <v>18</v>
      </c>
      <c r="L27" s="102" t="s">
        <v>19</v>
      </c>
      <c r="M27" s="102" t="s">
        <v>20</v>
      </c>
      <c r="N27" s="27"/>
      <c r="O27" s="27"/>
      <c r="P27" s="27"/>
      <c r="Q27" s="27"/>
      <c r="R27" s="27"/>
      <c r="S27" s="27"/>
      <c r="T27" s="27"/>
      <c r="U27" s="28"/>
    </row>
    <row r="28" spans="1:26">
      <c r="A28" s="26"/>
      <c r="B28" s="27"/>
      <c r="C28" s="27"/>
      <c r="D28" s="27"/>
      <c r="E28" s="27"/>
      <c r="F28" s="27"/>
      <c r="G28" s="27"/>
      <c r="H28" s="29" t="s">
        <v>27</v>
      </c>
      <c r="I28" s="96">
        <f>Weely!E9</f>
        <v>0</v>
      </c>
      <c r="J28" s="96">
        <f>Weely!G9</f>
        <v>0</v>
      </c>
      <c r="K28" s="96">
        <f>Weely!I9</f>
        <v>0</v>
      </c>
      <c r="L28" s="96">
        <f>Weely!K9</f>
        <v>0</v>
      </c>
      <c r="M28" s="96">
        <f>Weely!M9</f>
        <v>0</v>
      </c>
      <c r="N28" s="27"/>
      <c r="O28" s="27"/>
      <c r="P28" s="27"/>
      <c r="Q28" s="27"/>
      <c r="R28" s="27"/>
      <c r="S28" s="27"/>
      <c r="T28" s="27"/>
      <c r="U28" s="28"/>
    </row>
    <row r="29" spans="1:26">
      <c r="A29" s="26"/>
      <c r="B29" s="27"/>
      <c r="C29" s="27"/>
      <c r="D29" s="27"/>
      <c r="E29" s="27"/>
      <c r="F29" s="27"/>
      <c r="G29" s="27"/>
      <c r="H29" s="30"/>
      <c r="I29" s="101"/>
      <c r="J29" s="101"/>
      <c r="K29" s="101"/>
      <c r="L29" s="101"/>
      <c r="M29" s="101"/>
      <c r="N29" s="27"/>
      <c r="O29" s="27"/>
      <c r="P29" s="27"/>
      <c r="Q29" s="27"/>
      <c r="R29" s="27"/>
      <c r="S29" s="27"/>
      <c r="T29" s="27"/>
      <c r="U29" s="28"/>
    </row>
    <row r="30" spans="1:26">
      <c r="A30" s="155" t="s">
        <v>123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84"/>
    </row>
    <row r="31" spans="1:26" s="1" customFormat="1" ht="45">
      <c r="A31" s="95" t="s">
        <v>126</v>
      </c>
      <c r="B31" s="19" t="s">
        <v>127</v>
      </c>
      <c r="C31" s="19" t="s">
        <v>128</v>
      </c>
      <c r="D31" s="99" t="s">
        <v>129</v>
      </c>
      <c r="E31" s="19" t="s">
        <v>130</v>
      </c>
      <c r="F31" s="99" t="s">
        <v>131</v>
      </c>
      <c r="G31" s="99" t="s">
        <v>132</v>
      </c>
      <c r="H31" s="99" t="s">
        <v>133</v>
      </c>
      <c r="I31" s="99" t="s">
        <v>111</v>
      </c>
      <c r="J31" s="99" t="s">
        <v>112</v>
      </c>
      <c r="K31" s="138" t="s">
        <v>113</v>
      </c>
      <c r="L31" s="138"/>
      <c r="M31" s="138" t="s">
        <v>114</v>
      </c>
      <c r="N31" s="138"/>
      <c r="O31" s="138" t="s">
        <v>115</v>
      </c>
      <c r="P31" s="138"/>
      <c r="Q31" s="132" t="s">
        <v>134</v>
      </c>
      <c r="R31" s="132"/>
      <c r="S31" s="132"/>
      <c r="T31" s="138" t="s">
        <v>135</v>
      </c>
      <c r="U31" s="139"/>
      <c r="V31" s="32"/>
      <c r="W31" s="33"/>
      <c r="X31" s="33"/>
      <c r="Y31" s="31"/>
      <c r="Z31" s="34"/>
    </row>
    <row r="32" spans="1:26">
      <c r="A32" s="40" t="s">
        <v>110</v>
      </c>
      <c r="B32" s="37">
        <v>8.3000000000000007</v>
      </c>
      <c r="C32" s="37">
        <v>17.3</v>
      </c>
      <c r="D32" s="45" t="s">
        <v>102</v>
      </c>
      <c r="E32" s="97">
        <f t="shared" ref="E32:E37" si="0">540-40-F32</f>
        <v>500</v>
      </c>
      <c r="F32" s="41">
        <v>0</v>
      </c>
      <c r="G32" s="98">
        <v>2</v>
      </c>
      <c r="H32" s="98">
        <v>10</v>
      </c>
      <c r="I32" s="98">
        <v>2</v>
      </c>
      <c r="J32" s="98">
        <v>1</v>
      </c>
      <c r="K32" s="106">
        <v>3</v>
      </c>
      <c r="L32" s="106"/>
      <c r="M32" s="106">
        <v>4</v>
      </c>
      <c r="N32" s="106"/>
      <c r="O32" s="106">
        <v>0</v>
      </c>
      <c r="P32" s="106"/>
      <c r="Q32" s="157" t="s">
        <v>116</v>
      </c>
      <c r="R32" s="157"/>
      <c r="S32" s="157"/>
      <c r="T32" s="106">
        <v>90</v>
      </c>
      <c r="U32" s="158"/>
      <c r="V32" s="30"/>
      <c r="W32" s="7"/>
      <c r="X32" s="12"/>
      <c r="Y32" s="7"/>
      <c r="Z32" s="7"/>
    </row>
    <row r="33" spans="1:26">
      <c r="A33" s="40" t="s">
        <v>110</v>
      </c>
      <c r="B33" s="37">
        <v>8.3000000000000007</v>
      </c>
      <c r="C33" s="37">
        <v>17.3</v>
      </c>
      <c r="D33" s="45" t="s">
        <v>103</v>
      </c>
      <c r="E33" s="97">
        <f t="shared" si="0"/>
        <v>490</v>
      </c>
      <c r="F33" s="41">
        <v>10</v>
      </c>
      <c r="G33" s="98"/>
      <c r="H33" s="98"/>
      <c r="I33" s="98"/>
      <c r="J33" s="98"/>
      <c r="K33" s="106"/>
      <c r="L33" s="106"/>
      <c r="M33" s="106"/>
      <c r="N33" s="106"/>
      <c r="O33" s="106"/>
      <c r="P33" s="106"/>
      <c r="Q33" s="157"/>
      <c r="R33" s="157"/>
      <c r="S33" s="157"/>
      <c r="T33" s="106">
        <v>88</v>
      </c>
      <c r="U33" s="158"/>
      <c r="V33" s="7"/>
      <c r="W33" s="7"/>
      <c r="X33" s="7"/>
      <c r="Y33" s="7"/>
      <c r="Z33" s="7"/>
    </row>
    <row r="34" spans="1:26">
      <c r="A34" s="40" t="s">
        <v>110</v>
      </c>
      <c r="B34" s="37">
        <v>8.3000000000000007</v>
      </c>
      <c r="C34" s="37">
        <v>17.3</v>
      </c>
      <c r="D34" s="45" t="s">
        <v>104</v>
      </c>
      <c r="E34" s="97">
        <f t="shared" si="0"/>
        <v>490</v>
      </c>
      <c r="F34" s="41">
        <v>10</v>
      </c>
      <c r="G34" s="98"/>
      <c r="H34" s="98"/>
      <c r="I34" s="98"/>
      <c r="J34" s="98"/>
      <c r="K34" s="106"/>
      <c r="L34" s="106"/>
      <c r="M34" s="106"/>
      <c r="N34" s="106"/>
      <c r="O34" s="106"/>
      <c r="P34" s="106"/>
      <c r="Q34" s="157"/>
      <c r="R34" s="157"/>
      <c r="S34" s="157"/>
      <c r="T34" s="106">
        <v>92</v>
      </c>
      <c r="U34" s="158"/>
    </row>
    <row r="35" spans="1:26">
      <c r="A35" s="40" t="s">
        <v>110</v>
      </c>
      <c r="B35" s="37">
        <v>8.3000000000000007</v>
      </c>
      <c r="C35" s="37">
        <v>17.3</v>
      </c>
      <c r="D35" s="45" t="s">
        <v>105</v>
      </c>
      <c r="E35" s="97">
        <f t="shared" si="0"/>
        <v>490</v>
      </c>
      <c r="F35" s="41">
        <v>10</v>
      </c>
      <c r="G35" s="98"/>
      <c r="H35" s="98"/>
      <c r="I35" s="98"/>
      <c r="J35" s="98"/>
      <c r="K35" s="106"/>
      <c r="L35" s="106"/>
      <c r="M35" s="106"/>
      <c r="N35" s="106"/>
      <c r="O35" s="106"/>
      <c r="P35" s="106"/>
      <c r="Q35" s="157"/>
      <c r="R35" s="157"/>
      <c r="S35" s="157"/>
      <c r="T35" s="106">
        <v>84</v>
      </c>
      <c r="U35" s="158"/>
    </row>
    <row r="36" spans="1:26">
      <c r="A36" s="40" t="s">
        <v>110</v>
      </c>
      <c r="B36" s="37">
        <v>8.3000000000000007</v>
      </c>
      <c r="C36" s="37">
        <v>17.3</v>
      </c>
      <c r="D36" s="45" t="s">
        <v>106</v>
      </c>
      <c r="E36" s="97">
        <f t="shared" si="0"/>
        <v>490</v>
      </c>
      <c r="F36" s="41">
        <v>10</v>
      </c>
      <c r="G36" s="98"/>
      <c r="H36" s="98"/>
      <c r="I36" s="98"/>
      <c r="J36" s="98"/>
      <c r="K36" s="106"/>
      <c r="L36" s="106"/>
      <c r="M36" s="106"/>
      <c r="N36" s="106"/>
      <c r="O36" s="106"/>
      <c r="P36" s="106"/>
      <c r="Q36" s="157"/>
      <c r="R36" s="157"/>
      <c r="S36" s="157"/>
      <c r="T36" s="106">
        <v>86</v>
      </c>
      <c r="U36" s="158"/>
    </row>
    <row r="37" spans="1:26">
      <c r="A37" s="40" t="s">
        <v>110</v>
      </c>
      <c r="B37" s="37">
        <v>8.3000000000000007</v>
      </c>
      <c r="C37" s="37">
        <v>17.3</v>
      </c>
      <c r="D37" s="45" t="s">
        <v>107</v>
      </c>
      <c r="E37" s="97">
        <f t="shared" si="0"/>
        <v>490</v>
      </c>
      <c r="F37" s="41">
        <v>10</v>
      </c>
      <c r="G37" s="98"/>
      <c r="H37" s="98"/>
      <c r="I37" s="98"/>
      <c r="J37" s="98"/>
      <c r="K37" s="106"/>
      <c r="L37" s="106"/>
      <c r="M37" s="106"/>
      <c r="N37" s="106"/>
      <c r="O37" s="106"/>
      <c r="P37" s="106"/>
      <c r="Q37" s="157"/>
      <c r="R37" s="157"/>
      <c r="S37" s="157"/>
      <c r="T37" s="106">
        <v>89</v>
      </c>
      <c r="U37" s="158"/>
    </row>
    <row r="38" spans="1:26">
      <c r="A38" s="26"/>
      <c r="B38" s="27"/>
      <c r="C38" s="27"/>
      <c r="D38" s="27"/>
      <c r="E38" s="27"/>
      <c r="F38" s="27"/>
      <c r="G38" s="27"/>
      <c r="H38" s="189" t="s">
        <v>240</v>
      </c>
      <c r="I38" s="189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</row>
    <row r="39" spans="1:26">
      <c r="A39" s="162" t="s">
        <v>136</v>
      </c>
      <c r="B39" s="163"/>
      <c r="C39" s="163"/>
      <c r="D39" s="163"/>
      <c r="E39" s="169">
        <f>Daily!C3</f>
        <v>0</v>
      </c>
      <c r="F39" s="169"/>
      <c r="G39" s="169"/>
      <c r="H39" s="169"/>
      <c r="I39" s="169"/>
      <c r="J39" s="169"/>
      <c r="K39" s="169"/>
      <c r="L39" s="169"/>
      <c r="M39" s="169"/>
      <c r="N39" s="169"/>
      <c r="O39" s="118"/>
      <c r="P39" s="119"/>
      <c r="Q39" s="119"/>
      <c r="R39" s="119"/>
      <c r="S39" s="119"/>
      <c r="T39" s="119"/>
      <c r="U39" s="120"/>
    </row>
    <row r="40" spans="1:26">
      <c r="A40" s="164"/>
      <c r="B40" s="163"/>
      <c r="C40" s="163"/>
      <c r="D40" s="163"/>
      <c r="E40" s="168" t="s">
        <v>30</v>
      </c>
      <c r="F40" s="168"/>
      <c r="G40" s="168"/>
      <c r="H40" s="168"/>
      <c r="I40" s="168"/>
      <c r="J40" s="168"/>
      <c r="K40" s="168"/>
      <c r="L40" s="168"/>
      <c r="M40" s="168"/>
      <c r="N40" s="168"/>
      <c r="O40" s="121"/>
      <c r="P40" s="122"/>
      <c r="Q40" s="122"/>
      <c r="R40" s="122"/>
      <c r="S40" s="122"/>
      <c r="T40" s="122"/>
      <c r="U40" s="123"/>
    </row>
    <row r="41" spans="1:26" s="2" customFormat="1">
      <c r="A41" s="167" t="s">
        <v>31</v>
      </c>
      <c r="B41" s="168"/>
      <c r="C41" s="168"/>
      <c r="D41" s="168"/>
      <c r="E41" s="94" t="s">
        <v>26</v>
      </c>
      <c r="F41" s="94" t="s">
        <v>32</v>
      </c>
      <c r="G41" s="200" t="s">
        <v>245</v>
      </c>
      <c r="H41" s="200" t="s">
        <v>246</v>
      </c>
      <c r="I41" s="94" t="s">
        <v>35</v>
      </c>
      <c r="J41" s="94" t="s">
        <v>36</v>
      </c>
      <c r="K41" s="193" t="s">
        <v>247</v>
      </c>
      <c r="L41" s="193"/>
      <c r="M41" s="117" t="s">
        <v>122</v>
      </c>
      <c r="N41" s="117"/>
      <c r="O41" s="190" t="s">
        <v>124</v>
      </c>
      <c r="P41" s="191"/>
      <c r="Q41" s="191"/>
      <c r="R41" s="192"/>
      <c r="S41" s="193" t="s">
        <v>239</v>
      </c>
      <c r="T41" s="193"/>
      <c r="U41" s="194"/>
    </row>
    <row r="42" spans="1:26">
      <c r="A42" s="165" t="s">
        <v>137</v>
      </c>
      <c r="B42" s="166"/>
      <c r="C42" s="166"/>
      <c r="D42" s="166"/>
      <c r="E42" s="36">
        <f>I32+I33+I34+I35+I36+I37</f>
        <v>2</v>
      </c>
      <c r="F42" s="36">
        <f>'Line Stop_Prod Loss'!H5</f>
        <v>0</v>
      </c>
      <c r="G42" s="36">
        <f>'Line Stop_Prod Loss'!F5</f>
        <v>0</v>
      </c>
      <c r="H42" s="36">
        <f>'Line Stop_Prod Loss'!E5</f>
        <v>0</v>
      </c>
      <c r="I42" s="36">
        <f>'Line Stop_Prod Loss'!D5</f>
        <v>0</v>
      </c>
      <c r="J42" s="36">
        <f>'Line Stop_Prod Loss'!C5</f>
        <v>0</v>
      </c>
      <c r="K42" s="109">
        <v>0</v>
      </c>
      <c r="L42" s="109"/>
      <c r="M42" s="110">
        <v>0</v>
      </c>
      <c r="N42" s="111"/>
      <c r="O42" s="182" t="s">
        <v>121</v>
      </c>
      <c r="P42" s="182"/>
      <c r="Q42" s="182"/>
      <c r="R42" s="182"/>
      <c r="S42" s="183"/>
      <c r="T42" s="183"/>
      <c r="U42" s="185"/>
    </row>
    <row r="43" spans="1:26">
      <c r="A43" s="165" t="s">
        <v>138</v>
      </c>
      <c r="B43" s="166"/>
      <c r="C43" s="166"/>
      <c r="D43" s="166"/>
      <c r="E43" s="43">
        <f>'Line Stop_Prod Loss'!G6</f>
        <v>0</v>
      </c>
      <c r="F43" s="42">
        <f>'Line Stop_Prod Loss'!H6</f>
        <v>0</v>
      </c>
      <c r="G43" s="42">
        <f>'Line Stop_Prod Loss'!F6</f>
        <v>0</v>
      </c>
      <c r="H43" s="42">
        <f>'Line Stop_Prod Loss'!E6</f>
        <v>0</v>
      </c>
      <c r="I43" s="42">
        <f>'Line Stop_Prod Loss'!D6</f>
        <v>0</v>
      </c>
      <c r="J43" s="42">
        <f>'Line Stop_Prod Loss'!C6</f>
        <v>0</v>
      </c>
      <c r="K43" s="109">
        <v>0</v>
      </c>
      <c r="L43" s="109"/>
      <c r="M43" s="110">
        <v>0</v>
      </c>
      <c r="N43" s="111"/>
      <c r="O43" s="182" t="s">
        <v>121</v>
      </c>
      <c r="P43" s="182"/>
      <c r="Q43" s="182"/>
      <c r="R43" s="182"/>
      <c r="S43" s="183"/>
      <c r="T43" s="183"/>
      <c r="U43" s="185"/>
    </row>
    <row r="44" spans="1:26">
      <c r="A44" s="165" t="s">
        <v>139</v>
      </c>
      <c r="B44" s="166"/>
      <c r="C44" s="166"/>
      <c r="D44" s="166"/>
      <c r="E44" s="43">
        <f>'Line Stop_Prod Loss'!G7</f>
        <v>0</v>
      </c>
      <c r="F44" s="42">
        <f>'Line Stop_Prod Loss'!H7</f>
        <v>0</v>
      </c>
      <c r="G44" s="42">
        <f>'Line Stop_Prod Loss'!F7</f>
        <v>0</v>
      </c>
      <c r="H44" s="42">
        <f>'Line Stop_Prod Loss'!E7</f>
        <v>0</v>
      </c>
      <c r="I44" s="42">
        <f>'Line Stop_Prod Loss'!D7</f>
        <v>0</v>
      </c>
      <c r="J44" s="42">
        <f>'Line Stop_Prod Loss'!C7</f>
        <v>0</v>
      </c>
      <c r="K44" s="109">
        <v>0</v>
      </c>
      <c r="L44" s="109"/>
      <c r="M44" s="110">
        <v>0</v>
      </c>
      <c r="N44" s="111"/>
      <c r="O44" s="182" t="s">
        <v>121</v>
      </c>
      <c r="P44" s="182"/>
      <c r="Q44" s="182"/>
      <c r="R44" s="182"/>
      <c r="S44" s="183"/>
      <c r="T44" s="183"/>
      <c r="U44" s="185"/>
    </row>
    <row r="45" spans="1:26">
      <c r="A45" s="165" t="s">
        <v>140</v>
      </c>
      <c r="B45" s="166"/>
      <c r="C45" s="166"/>
      <c r="D45" s="166"/>
      <c r="E45" s="43">
        <f>'Line Stop_Prod Loss'!G8</f>
        <v>0</v>
      </c>
      <c r="F45" s="42">
        <f>'Line Stop_Prod Loss'!H8</f>
        <v>0</v>
      </c>
      <c r="G45" s="42">
        <f>'Line Stop_Prod Loss'!F8</f>
        <v>0</v>
      </c>
      <c r="H45" s="42">
        <f>'Line Stop_Prod Loss'!E8</f>
        <v>0</v>
      </c>
      <c r="I45" s="42">
        <f>'Line Stop_Prod Loss'!D8</f>
        <v>0</v>
      </c>
      <c r="J45" s="42">
        <f>'Line Stop_Prod Loss'!C8</f>
        <v>0</v>
      </c>
      <c r="K45" s="109">
        <v>0</v>
      </c>
      <c r="L45" s="109"/>
      <c r="M45" s="110">
        <v>0</v>
      </c>
      <c r="N45" s="111"/>
      <c r="O45" s="182" t="s">
        <v>121</v>
      </c>
      <c r="P45" s="182"/>
      <c r="Q45" s="182"/>
      <c r="R45" s="182"/>
      <c r="S45" s="183"/>
      <c r="T45" s="183"/>
      <c r="U45" s="185"/>
    </row>
    <row r="46" spans="1:26" ht="15.75" thickBot="1">
      <c r="A46" s="160" t="s">
        <v>37</v>
      </c>
      <c r="B46" s="161"/>
      <c r="C46" s="161"/>
      <c r="D46" s="161"/>
      <c r="E46" s="44">
        <v>0</v>
      </c>
      <c r="F46" s="105">
        <v>0</v>
      </c>
      <c r="G46" s="105">
        <v>0</v>
      </c>
      <c r="H46" s="105">
        <v>0</v>
      </c>
      <c r="I46" s="105">
        <v>0</v>
      </c>
      <c r="J46" s="105">
        <v>0</v>
      </c>
      <c r="K46" s="108">
        <v>0</v>
      </c>
      <c r="L46" s="108"/>
      <c r="M46" s="112">
        <v>0</v>
      </c>
      <c r="N46" s="113"/>
      <c r="O46" s="186" t="s">
        <v>121</v>
      </c>
      <c r="P46" s="186"/>
      <c r="Q46" s="186"/>
      <c r="R46" s="186"/>
      <c r="S46" s="187"/>
      <c r="T46" s="187"/>
      <c r="U46" s="188"/>
    </row>
    <row r="47" spans="1:26">
      <c r="L47" s="1"/>
    </row>
    <row r="48" spans="1:26">
      <c r="E48" s="60" t="s">
        <v>233</v>
      </c>
      <c r="F48" s="60" t="s">
        <v>238</v>
      </c>
      <c r="G48" s="60" t="s">
        <v>237</v>
      </c>
      <c r="H48" s="60" t="s">
        <v>236</v>
      </c>
      <c r="I48" s="60" t="s">
        <v>235</v>
      </c>
      <c r="J48" s="60" t="s">
        <v>234</v>
      </c>
    </row>
  </sheetData>
  <sheetProtection formatCells="0" formatColumns="0" formatRows="0" insertColumns="0" insertRows="0" insertHyperlinks="0" deleteColumns="0" deleteRows="0" sort="0" autoFilter="0" pivotTables="0"/>
  <mergeCells count="101">
    <mergeCell ref="O46:R46"/>
    <mergeCell ref="S41:U41"/>
    <mergeCell ref="S42:U42"/>
    <mergeCell ref="S43:U43"/>
    <mergeCell ref="S44:U44"/>
    <mergeCell ref="S45:U45"/>
    <mergeCell ref="S46:U46"/>
    <mergeCell ref="O41:R41"/>
    <mergeCell ref="E40:N40"/>
    <mergeCell ref="E39:N39"/>
    <mergeCell ref="K42:L42"/>
    <mergeCell ref="O42:R42"/>
    <mergeCell ref="O43:R43"/>
    <mergeCell ref="O44:R44"/>
    <mergeCell ref="O45:R45"/>
    <mergeCell ref="A1:U2"/>
    <mergeCell ref="A46:D46"/>
    <mergeCell ref="A39:D40"/>
    <mergeCell ref="A45:D45"/>
    <mergeCell ref="A42:D42"/>
    <mergeCell ref="A43:D43"/>
    <mergeCell ref="A44:D44"/>
    <mergeCell ref="A41:D41"/>
    <mergeCell ref="Q33:S33"/>
    <mergeCell ref="T33:U33"/>
    <mergeCell ref="Q34:S34"/>
    <mergeCell ref="T34:U34"/>
    <mergeCell ref="Q35:S35"/>
    <mergeCell ref="T35:U35"/>
    <mergeCell ref="Q36:S36"/>
    <mergeCell ref="T36:U36"/>
    <mergeCell ref="Q37:S37"/>
    <mergeCell ref="T37:U37"/>
    <mergeCell ref="K37:L37"/>
    <mergeCell ref="M37:N37"/>
    <mergeCell ref="O37:P37"/>
    <mergeCell ref="Q32:S32"/>
    <mergeCell ref="T32:U32"/>
    <mergeCell ref="K31:L31"/>
    <mergeCell ref="M31:N31"/>
    <mergeCell ref="O31:P31"/>
    <mergeCell ref="K32:L32"/>
    <mergeCell ref="M32:N32"/>
    <mergeCell ref="O32:P32"/>
    <mergeCell ref="A8:D9"/>
    <mergeCell ref="A13:D13"/>
    <mergeCell ref="A14:D14"/>
    <mergeCell ref="E8:G8"/>
    <mergeCell ref="I8:M8"/>
    <mergeCell ref="A10:D10"/>
    <mergeCell ref="E9:G9"/>
    <mergeCell ref="I9:M9"/>
    <mergeCell ref="N15:P15"/>
    <mergeCell ref="T31:U31"/>
    <mergeCell ref="N22:P22"/>
    <mergeCell ref="A11:D11"/>
    <mergeCell ref="A12:D12"/>
    <mergeCell ref="A15:B15"/>
    <mergeCell ref="C15:D15"/>
    <mergeCell ref="E15:H15"/>
    <mergeCell ref="A16:B16"/>
    <mergeCell ref="I19:M19"/>
    <mergeCell ref="Q31:S31"/>
    <mergeCell ref="A30:U30"/>
    <mergeCell ref="A23:B23"/>
    <mergeCell ref="I26:M26"/>
    <mergeCell ref="I22:M22"/>
    <mergeCell ref="N9:P9"/>
    <mergeCell ref="P4:T4"/>
    <mergeCell ref="P5:T5"/>
    <mergeCell ref="Q9:S9"/>
    <mergeCell ref="N8:P8"/>
    <mergeCell ref="B6:C6"/>
    <mergeCell ref="P6:T6"/>
    <mergeCell ref="B7:C7"/>
    <mergeCell ref="Q8:S8"/>
    <mergeCell ref="K41:L41"/>
    <mergeCell ref="K33:L33"/>
    <mergeCell ref="M33:N33"/>
    <mergeCell ref="O33:P3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I15:M15"/>
    <mergeCell ref="K46:L46"/>
    <mergeCell ref="K43:L43"/>
    <mergeCell ref="K44:L44"/>
    <mergeCell ref="K45:L45"/>
    <mergeCell ref="M42:N42"/>
    <mergeCell ref="M43:N43"/>
    <mergeCell ref="M44:N44"/>
    <mergeCell ref="M45:N45"/>
    <mergeCell ref="M46:N46"/>
    <mergeCell ref="M41:N41"/>
    <mergeCell ref="O39:U40"/>
  </mergeCells>
  <pageMargins left="0.7" right="0.7" top="0.75" bottom="0.75" header="0.3" footer="0.3"/>
  <pageSetup paperSize="9" scale="49" orientation="landscape" r:id="rId1"/>
  <rowBreaks count="2" manualBreakCount="2">
    <brk id="1" max="20" man="1"/>
    <brk id="72" max="20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47"/>
  <sheetViews>
    <sheetView zoomScale="80" zoomScaleNormal="80" workbookViewId="0">
      <selection activeCell="F51" sqref="F51:F52"/>
    </sheetView>
  </sheetViews>
  <sheetFormatPr defaultColWidth="9" defaultRowHeight="15"/>
  <cols>
    <col min="1" max="1" width="8.5703125" customWidth="1"/>
    <col min="2" max="2" width="10.85546875" customWidth="1"/>
    <col min="3" max="3" width="8.85546875" customWidth="1"/>
    <col min="4" max="4" width="13.7109375" customWidth="1"/>
    <col min="5" max="5" width="10.7109375" customWidth="1"/>
    <col min="6" max="6" width="13.140625" customWidth="1"/>
    <col min="7" max="7" width="12.7109375" customWidth="1"/>
    <col min="8" max="8" width="12" customWidth="1"/>
    <col min="9" max="9" width="14" customWidth="1"/>
    <col min="10" max="10" width="12.5703125" customWidth="1"/>
    <col min="11" max="11" width="6" customWidth="1"/>
    <col min="12" max="12" width="6.140625" customWidth="1"/>
    <col min="13" max="13" width="6" customWidth="1"/>
    <col min="14" max="14" width="6.7109375" customWidth="1"/>
    <col min="15" max="15" width="6.85546875" customWidth="1"/>
    <col min="16" max="16" width="6" customWidth="1"/>
    <col min="17" max="18" width="6.5703125" customWidth="1"/>
    <col min="19" max="19" width="6.140625" customWidth="1"/>
    <col min="20" max="20" width="5" customWidth="1"/>
    <col min="21" max="21" width="8.7109375" customWidth="1"/>
    <col min="24" max="24" width="36.7109375" bestFit="1" customWidth="1"/>
  </cols>
  <sheetData>
    <row r="1" spans="1:24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</row>
    <row r="2" spans="1:24" ht="15.75" thickBo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</row>
    <row r="3" spans="1:24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</row>
    <row r="4" spans="1:24" ht="15" customHeight="1">
      <c r="A4" s="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132" t="s">
        <v>1</v>
      </c>
      <c r="Q4" s="132"/>
      <c r="R4" s="132"/>
      <c r="S4" s="132"/>
      <c r="T4" s="132"/>
      <c r="U4" s="8">
        <f>Monthly!C12</f>
        <v>0</v>
      </c>
      <c r="W4" s="57"/>
      <c r="X4" t="s">
        <v>148</v>
      </c>
    </row>
    <row r="5" spans="1:24" ht="15" customHeight="1">
      <c r="A5" s="6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132" t="s">
        <v>2</v>
      </c>
      <c r="Q5" s="132"/>
      <c r="R5" s="132"/>
      <c r="S5" s="132"/>
      <c r="T5" s="132"/>
      <c r="U5" s="9">
        <f>Daily!L3</f>
        <v>0</v>
      </c>
      <c r="W5" s="58"/>
      <c r="X5" t="s">
        <v>125</v>
      </c>
    </row>
    <row r="6" spans="1:24">
      <c r="A6" s="59" t="s">
        <v>141</v>
      </c>
      <c r="B6" s="129" t="s">
        <v>3</v>
      </c>
      <c r="C6" s="130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132" t="s">
        <v>4</v>
      </c>
      <c r="Q6" s="132"/>
      <c r="R6" s="132"/>
      <c r="S6" s="132"/>
      <c r="T6" s="132"/>
      <c r="U6" s="9">
        <f>Daily!M3</f>
        <v>0</v>
      </c>
      <c r="W6" s="60"/>
      <c r="X6" t="s">
        <v>149</v>
      </c>
    </row>
    <row r="7" spans="1:24">
      <c r="A7" s="59" t="s">
        <v>142</v>
      </c>
      <c r="B7" s="133">
        <v>0.9375</v>
      </c>
      <c r="C7" s="130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10"/>
      <c r="T7" s="10"/>
      <c r="U7" s="11"/>
    </row>
    <row r="8" spans="1:24">
      <c r="A8" s="149"/>
      <c r="B8" s="150"/>
      <c r="C8" s="150"/>
      <c r="D8" s="151"/>
      <c r="E8" s="107" t="s">
        <v>5</v>
      </c>
      <c r="F8" s="107"/>
      <c r="G8" s="107"/>
      <c r="H8" s="51"/>
      <c r="I8" s="107" t="s">
        <v>6</v>
      </c>
      <c r="J8" s="107"/>
      <c r="K8" s="107"/>
      <c r="L8" s="107"/>
      <c r="M8" s="107"/>
      <c r="N8" s="107" t="s">
        <v>7</v>
      </c>
      <c r="O8" s="107"/>
      <c r="P8" s="107"/>
      <c r="Q8" s="107" t="s">
        <v>8</v>
      </c>
      <c r="R8" s="107"/>
      <c r="S8" s="107"/>
      <c r="T8" s="52" t="s">
        <v>9</v>
      </c>
      <c r="U8" s="13" t="s">
        <v>10</v>
      </c>
    </row>
    <row r="9" spans="1:24">
      <c r="A9" s="152"/>
      <c r="B9" s="153"/>
      <c r="C9" s="153"/>
      <c r="D9" s="154"/>
      <c r="E9" s="156">
        <f>Monthly!C12</f>
        <v>0</v>
      </c>
      <c r="F9" s="107"/>
      <c r="G9" s="107"/>
      <c r="H9" s="51"/>
      <c r="I9" s="107" t="s">
        <v>11</v>
      </c>
      <c r="J9" s="107"/>
      <c r="K9" s="107"/>
      <c r="L9" s="107"/>
      <c r="M9" s="107"/>
      <c r="N9" s="134">
        <f>Daily!C3</f>
        <v>0</v>
      </c>
      <c r="O9" s="107"/>
      <c r="P9" s="107"/>
      <c r="Q9" s="134">
        <f>Daily!C13</f>
        <v>0</v>
      </c>
      <c r="R9" s="107"/>
      <c r="S9" s="107"/>
      <c r="T9" s="52">
        <f>YTD!C12</f>
        <v>0</v>
      </c>
      <c r="U9" s="14">
        <f>PrevFY!C12</f>
        <v>0</v>
      </c>
    </row>
    <row r="10" spans="1:24">
      <c r="A10" s="155" t="s">
        <v>12</v>
      </c>
      <c r="B10" s="136"/>
      <c r="C10" s="136"/>
      <c r="D10" s="137"/>
      <c r="E10" s="51" t="s">
        <v>13</v>
      </c>
      <c r="F10" s="51" t="s">
        <v>14</v>
      </c>
      <c r="G10" s="51" t="s">
        <v>15</v>
      </c>
      <c r="H10" s="51"/>
      <c r="I10" s="51" t="s">
        <v>16</v>
      </c>
      <c r="J10" s="51" t="s">
        <v>17</v>
      </c>
      <c r="K10" s="51" t="s">
        <v>18</v>
      </c>
      <c r="L10" s="51" t="s">
        <v>19</v>
      </c>
      <c r="M10" s="51" t="s">
        <v>20</v>
      </c>
      <c r="N10" s="51" t="s">
        <v>13</v>
      </c>
      <c r="O10" s="51" t="s">
        <v>14</v>
      </c>
      <c r="P10" s="51" t="s">
        <v>15</v>
      </c>
      <c r="Q10" s="51" t="s">
        <v>13</v>
      </c>
      <c r="R10" s="51" t="s">
        <v>14</v>
      </c>
      <c r="S10" s="51" t="s">
        <v>15</v>
      </c>
      <c r="T10" s="51" t="s">
        <v>14</v>
      </c>
      <c r="U10" s="14" t="s">
        <v>14</v>
      </c>
    </row>
    <row r="11" spans="1:24">
      <c r="A11" s="140" t="s">
        <v>109</v>
      </c>
      <c r="B11" s="141"/>
      <c r="C11" s="141"/>
      <c r="D11" s="142"/>
      <c r="E11" s="36">
        <f>Monthly!D12</f>
        <v>0</v>
      </c>
      <c r="F11" s="36">
        <f>Monthly!E12</f>
        <v>0</v>
      </c>
      <c r="G11" s="47">
        <f>Monthly!F12</f>
        <v>0</v>
      </c>
      <c r="H11" s="47"/>
      <c r="I11" s="47">
        <f>Weely!E12</f>
        <v>0</v>
      </c>
      <c r="J11" s="47">
        <f>Weely!G12</f>
        <v>0</v>
      </c>
      <c r="K11" s="47">
        <f>Weely!I12</f>
        <v>0</v>
      </c>
      <c r="L11" s="47">
        <f>Weely!K12</f>
        <v>0</v>
      </c>
      <c r="M11" s="47">
        <f>Weely!M12</f>
        <v>0</v>
      </c>
      <c r="N11" s="41">
        <f>Daily!D13</f>
        <v>0</v>
      </c>
      <c r="O11" s="41">
        <f>Daily!E13</f>
        <v>0</v>
      </c>
      <c r="P11" s="47">
        <f>Daily!F13</f>
        <v>0</v>
      </c>
      <c r="Q11" s="47">
        <f>MTD!D12</f>
        <v>0</v>
      </c>
      <c r="R11" s="47">
        <f>MTD!E12</f>
        <v>0</v>
      </c>
      <c r="S11" s="47">
        <f>MTD!F12</f>
        <v>0</v>
      </c>
      <c r="T11" s="47">
        <f>YTD!E12</f>
        <v>0</v>
      </c>
      <c r="U11" s="15">
        <f>PrevFY!E12</f>
        <v>0</v>
      </c>
    </row>
    <row r="12" spans="1:24">
      <c r="A12" s="140" t="s">
        <v>21</v>
      </c>
      <c r="B12" s="141"/>
      <c r="C12" s="141"/>
      <c r="D12" s="142"/>
      <c r="E12" s="36">
        <f>Monthly!D3</f>
        <v>0</v>
      </c>
      <c r="F12" s="36">
        <f>Monthly!E3</f>
        <v>0</v>
      </c>
      <c r="G12" s="47">
        <f>Monthly!F3</f>
        <v>0</v>
      </c>
      <c r="H12" s="47"/>
      <c r="I12" s="47">
        <f>Weely!E3</f>
        <v>0</v>
      </c>
      <c r="J12" s="47">
        <f>Weely!G3</f>
        <v>0</v>
      </c>
      <c r="K12" s="47">
        <f>Weely!I3</f>
        <v>0</v>
      </c>
      <c r="L12" s="47">
        <f>Weely!K3</f>
        <v>0</v>
      </c>
      <c r="M12" s="47">
        <f>Weely!M3</f>
        <v>0</v>
      </c>
      <c r="N12" s="41">
        <f>Daily!D3</f>
        <v>0</v>
      </c>
      <c r="O12" s="41">
        <f>Daily!E3</f>
        <v>0</v>
      </c>
      <c r="P12" s="47">
        <f>Daily!F3</f>
        <v>0</v>
      </c>
      <c r="Q12" s="47">
        <f>MTD!D3</f>
        <v>0</v>
      </c>
      <c r="R12" s="47">
        <f>MTD!E3</f>
        <v>0</v>
      </c>
      <c r="S12" s="47">
        <f>MTD!F3</f>
        <v>0</v>
      </c>
      <c r="T12" s="47">
        <f>YTD!E3</f>
        <v>0</v>
      </c>
      <c r="U12" s="15">
        <f>PrevFY!E3</f>
        <v>0</v>
      </c>
    </row>
    <row r="13" spans="1:24">
      <c r="A13" s="140" t="s">
        <v>117</v>
      </c>
      <c r="B13" s="141"/>
      <c r="C13" s="141"/>
      <c r="D13" s="142"/>
      <c r="E13" s="36">
        <f>Monthly!D4</f>
        <v>0</v>
      </c>
      <c r="F13" s="36">
        <f>Monthly!E4</f>
        <v>0</v>
      </c>
      <c r="G13" s="47">
        <f>Monthly!F4</f>
        <v>0</v>
      </c>
      <c r="H13" s="55"/>
      <c r="I13" s="47">
        <f>Weely!E4</f>
        <v>0</v>
      </c>
      <c r="J13" s="47">
        <f>Weely!G4</f>
        <v>0</v>
      </c>
      <c r="K13" s="47">
        <f>Weely!I4</f>
        <v>0</v>
      </c>
      <c r="L13" s="47">
        <f>Weely!K4</f>
        <v>0</v>
      </c>
      <c r="M13" s="47">
        <f>Weely!M4</f>
        <v>0</v>
      </c>
      <c r="N13" s="41">
        <f>Daily!D4</f>
        <v>0</v>
      </c>
      <c r="O13" s="41">
        <f>Daily!E4</f>
        <v>0</v>
      </c>
      <c r="P13" s="47">
        <f>Daily!F4</f>
        <v>0</v>
      </c>
      <c r="Q13" s="47">
        <f>MTD!D4</f>
        <v>0</v>
      </c>
      <c r="R13" s="47">
        <f>MTD!E4</f>
        <v>0</v>
      </c>
      <c r="S13" s="47">
        <f>MTD!F4</f>
        <v>0</v>
      </c>
      <c r="T13" s="47">
        <f>YTD!E4</f>
        <v>0</v>
      </c>
      <c r="U13" s="15">
        <f>PrevFY!E4</f>
        <v>0</v>
      </c>
    </row>
    <row r="14" spans="1:24">
      <c r="A14" s="140" t="s">
        <v>118</v>
      </c>
      <c r="B14" s="141"/>
      <c r="C14" s="141"/>
      <c r="D14" s="142"/>
      <c r="E14" s="36">
        <f>Monthly!D5</f>
        <v>0</v>
      </c>
      <c r="F14" s="36">
        <f>Monthly!E5</f>
        <v>0</v>
      </c>
      <c r="G14" s="47">
        <f>Monthly!F5</f>
        <v>0</v>
      </c>
      <c r="H14" s="55"/>
      <c r="I14" s="47">
        <f>Weely!E5</f>
        <v>0</v>
      </c>
      <c r="J14" s="47">
        <f>Weely!G5</f>
        <v>0</v>
      </c>
      <c r="K14" s="47">
        <f>Weely!I5</f>
        <v>0</v>
      </c>
      <c r="L14" s="47">
        <f>Weely!K5</f>
        <v>0</v>
      </c>
      <c r="M14" s="47">
        <f>Weely!M5</f>
        <v>0</v>
      </c>
      <c r="N14" s="41">
        <f>Daily!D5</f>
        <v>0</v>
      </c>
      <c r="O14" s="41">
        <f>Daily!E5</f>
        <v>0</v>
      </c>
      <c r="P14" s="47">
        <f>Daily!F5</f>
        <v>0</v>
      </c>
      <c r="Q14" s="47">
        <f>MTD!D5</f>
        <v>0</v>
      </c>
      <c r="R14" s="47">
        <f>MTD!E5</f>
        <v>0</v>
      </c>
      <c r="S14" s="47">
        <f>MTD!F5</f>
        <v>0</v>
      </c>
      <c r="T14" s="47">
        <f>YTD!E5</f>
        <v>0</v>
      </c>
      <c r="U14" s="15">
        <f>PrevFY!E5</f>
        <v>0</v>
      </c>
    </row>
    <row r="15" spans="1:24">
      <c r="A15" s="143"/>
      <c r="B15" s="144"/>
      <c r="C15" s="107" t="s">
        <v>143</v>
      </c>
      <c r="D15" s="107"/>
      <c r="E15" s="145">
        <f>Monthly!C12</f>
        <v>0</v>
      </c>
      <c r="F15" s="136"/>
      <c r="G15" s="136"/>
      <c r="H15" s="137"/>
      <c r="I15" s="107" t="s">
        <v>108</v>
      </c>
      <c r="J15" s="107"/>
      <c r="K15" s="107"/>
      <c r="L15" s="107"/>
      <c r="M15" s="107"/>
      <c r="N15" s="135">
        <f>Daily!C13</f>
        <v>0</v>
      </c>
      <c r="O15" s="136"/>
      <c r="P15" s="137"/>
      <c r="Q15" s="16"/>
      <c r="R15" s="17"/>
      <c r="S15" s="17"/>
      <c r="T15" s="17"/>
      <c r="U15" s="18"/>
    </row>
    <row r="16" spans="1:24">
      <c r="A16" s="146" t="s">
        <v>22</v>
      </c>
      <c r="B16" s="147"/>
      <c r="C16" s="51" t="s">
        <v>23</v>
      </c>
      <c r="D16" s="51" t="s">
        <v>24</v>
      </c>
      <c r="E16" s="51" t="s">
        <v>23</v>
      </c>
      <c r="F16" s="51" t="s">
        <v>24</v>
      </c>
      <c r="G16" s="19" t="s">
        <v>144</v>
      </c>
      <c r="H16" s="19" t="s">
        <v>145</v>
      </c>
      <c r="I16" s="51" t="s">
        <v>16</v>
      </c>
      <c r="J16" s="51" t="s">
        <v>17</v>
      </c>
      <c r="K16" s="51" t="s">
        <v>18</v>
      </c>
      <c r="L16" s="51" t="s">
        <v>19</v>
      </c>
      <c r="M16" s="51" t="s">
        <v>20</v>
      </c>
      <c r="N16" s="51" t="s">
        <v>23</v>
      </c>
      <c r="O16" s="51" t="s">
        <v>24</v>
      </c>
      <c r="P16" s="51" t="s">
        <v>25</v>
      </c>
      <c r="Q16" s="20"/>
      <c r="R16" s="21"/>
      <c r="S16" s="21"/>
      <c r="T16" s="21"/>
      <c r="U16" s="18"/>
    </row>
    <row r="17" spans="1:26">
      <c r="A17" s="22" t="s">
        <v>26</v>
      </c>
      <c r="B17" s="23" t="s">
        <v>27</v>
      </c>
      <c r="C17" s="39">
        <f>PrevFY!E12</f>
        <v>0</v>
      </c>
      <c r="D17" s="39">
        <f>PrevFY!E3</f>
        <v>0</v>
      </c>
      <c r="E17" s="47">
        <f>Monthly!E12</f>
        <v>0</v>
      </c>
      <c r="F17" s="47">
        <f>Monthly!E3</f>
        <v>0</v>
      </c>
      <c r="G17" s="47">
        <f>YTD!E12</f>
        <v>0</v>
      </c>
      <c r="H17" s="47">
        <f>YTD!E3</f>
        <v>0</v>
      </c>
      <c r="I17" s="47">
        <f>Weely!E12</f>
        <v>0</v>
      </c>
      <c r="J17" s="47">
        <f>Weely!G12</f>
        <v>0</v>
      </c>
      <c r="K17" s="47">
        <f>Weely!I12</f>
        <v>0</v>
      </c>
      <c r="L17" s="47">
        <f>Weely!K12</f>
        <v>0</v>
      </c>
      <c r="M17" s="47">
        <f>Weely!M12</f>
        <v>0</v>
      </c>
      <c r="N17" s="47">
        <f>Daily!E13</f>
        <v>0</v>
      </c>
      <c r="O17" s="47">
        <f>Daily!E3</f>
        <v>0</v>
      </c>
      <c r="P17" s="47">
        <f>SUM(N17:O17)</f>
        <v>0</v>
      </c>
      <c r="Q17" s="20"/>
      <c r="R17" s="21"/>
      <c r="S17" s="21"/>
      <c r="T17" s="21"/>
      <c r="U17" s="18"/>
    </row>
    <row r="18" spans="1:26">
      <c r="A18" s="24" t="s">
        <v>28</v>
      </c>
      <c r="B18" s="23" t="s">
        <v>27</v>
      </c>
      <c r="C18" s="47">
        <f>PrevFY!E32</f>
        <v>0</v>
      </c>
      <c r="D18" s="47">
        <f>PrevFY!E22</f>
        <v>0</v>
      </c>
      <c r="E18" s="47">
        <f>Monthly!E32</f>
        <v>0</v>
      </c>
      <c r="F18" s="47">
        <f>Monthly!E22</f>
        <v>0</v>
      </c>
      <c r="G18" s="47">
        <f>YTD!E32</f>
        <v>0</v>
      </c>
      <c r="H18" s="47">
        <f>YTD!E22</f>
        <v>0</v>
      </c>
      <c r="I18" s="47">
        <f>Weely!E32</f>
        <v>0</v>
      </c>
      <c r="J18" s="47">
        <f>Weely!G32</f>
        <v>0</v>
      </c>
      <c r="K18" s="47">
        <f>Weely!I32</f>
        <v>0</v>
      </c>
      <c r="L18" s="47">
        <f>Weely!K32</f>
        <v>0</v>
      </c>
      <c r="M18" s="47">
        <f>Weely!M32</f>
        <v>0</v>
      </c>
      <c r="N18" s="41">
        <f>Daily!E32</f>
        <v>0</v>
      </c>
      <c r="O18" s="41">
        <f>Daily!E22</f>
        <v>0</v>
      </c>
      <c r="P18" s="47">
        <f>SUM(N18:O18)</f>
        <v>0</v>
      </c>
      <c r="Q18" s="21"/>
      <c r="R18" s="21"/>
      <c r="S18" s="21"/>
      <c r="T18" s="21"/>
      <c r="U18" s="18"/>
    </row>
    <row r="19" spans="1:26">
      <c r="A19" s="53"/>
      <c r="B19" s="54"/>
      <c r="C19" s="54"/>
      <c r="D19" s="54"/>
      <c r="E19" s="54"/>
      <c r="F19" s="54"/>
      <c r="G19" s="54"/>
      <c r="H19" s="54"/>
      <c r="I19" s="148" t="s">
        <v>29</v>
      </c>
      <c r="J19" s="136"/>
      <c r="K19" s="136"/>
      <c r="L19" s="136"/>
      <c r="M19" s="137"/>
      <c r="N19" s="54"/>
      <c r="O19" s="54"/>
      <c r="P19" s="54"/>
      <c r="Q19" s="54"/>
      <c r="R19" s="54"/>
      <c r="S19" s="54"/>
      <c r="T19" s="54"/>
      <c r="U19" s="25"/>
    </row>
    <row r="20" spans="1:26">
      <c r="A20" s="26"/>
      <c r="B20" s="27"/>
      <c r="C20" s="27"/>
      <c r="D20" s="27"/>
      <c r="E20" s="27"/>
      <c r="F20" s="27"/>
      <c r="G20" s="27"/>
      <c r="H20" s="27"/>
      <c r="I20" s="51" t="s">
        <v>16</v>
      </c>
      <c r="J20" s="51" t="s">
        <v>17</v>
      </c>
      <c r="K20" s="51" t="s">
        <v>18</v>
      </c>
      <c r="L20" s="51" t="s">
        <v>19</v>
      </c>
      <c r="M20" s="51" t="s">
        <v>20</v>
      </c>
      <c r="N20" s="27"/>
      <c r="O20" s="27"/>
      <c r="P20" s="27"/>
      <c r="Q20" s="27"/>
      <c r="R20" s="27"/>
      <c r="S20" s="27"/>
      <c r="T20" s="27"/>
      <c r="U20" s="28"/>
    </row>
    <row r="21" spans="1:26">
      <c r="A21" s="26"/>
      <c r="B21" s="27"/>
      <c r="C21" s="27"/>
      <c r="D21" s="27"/>
      <c r="E21" s="27"/>
      <c r="F21" s="27"/>
      <c r="G21" s="27"/>
      <c r="H21" s="29" t="s">
        <v>27</v>
      </c>
      <c r="I21" s="47">
        <f>Weely!E3</f>
        <v>0</v>
      </c>
      <c r="J21" s="47">
        <f>Weely!G3</f>
        <v>0</v>
      </c>
      <c r="K21" s="47">
        <f>Weely!I3</f>
        <v>0</v>
      </c>
      <c r="L21" s="47">
        <f>Weely!K3</f>
        <v>0</v>
      </c>
      <c r="M21" s="47">
        <f>Weely!M3</f>
        <v>0</v>
      </c>
      <c r="N21" s="27"/>
      <c r="O21" s="27"/>
      <c r="P21" s="27"/>
      <c r="Q21" s="27"/>
      <c r="R21" s="27"/>
      <c r="S21" s="27"/>
      <c r="T21" s="27"/>
      <c r="U21" s="28"/>
    </row>
    <row r="22" spans="1:26">
      <c r="A22" s="26"/>
      <c r="B22" s="27"/>
      <c r="C22" s="27"/>
      <c r="D22" s="27"/>
      <c r="E22" s="27"/>
      <c r="F22" s="27"/>
      <c r="G22" s="27"/>
      <c r="H22" s="27"/>
      <c r="I22" s="107" t="s">
        <v>119</v>
      </c>
      <c r="J22" s="107"/>
      <c r="K22" s="107"/>
      <c r="L22" s="107"/>
      <c r="M22" s="107"/>
      <c r="N22" s="135">
        <f>Daily!C20</f>
        <v>0</v>
      </c>
      <c r="O22" s="136"/>
      <c r="P22" s="137"/>
      <c r="Q22" s="27"/>
      <c r="R22" s="27"/>
      <c r="S22" s="27"/>
      <c r="T22" s="27"/>
      <c r="U22" s="28"/>
    </row>
    <row r="23" spans="1:26">
      <c r="A23" s="146" t="s">
        <v>22</v>
      </c>
      <c r="B23" s="147"/>
      <c r="C23" s="51" t="s">
        <v>117</v>
      </c>
      <c r="D23" s="51" t="s">
        <v>118</v>
      </c>
      <c r="E23" s="51" t="s">
        <v>117</v>
      </c>
      <c r="F23" s="51" t="s">
        <v>118</v>
      </c>
      <c r="G23" s="51" t="s">
        <v>146</v>
      </c>
      <c r="H23" s="51" t="s">
        <v>147</v>
      </c>
      <c r="I23" s="51" t="s">
        <v>16</v>
      </c>
      <c r="J23" s="51" t="s">
        <v>17</v>
      </c>
      <c r="K23" s="51" t="s">
        <v>18</v>
      </c>
      <c r="L23" s="51" t="s">
        <v>19</v>
      </c>
      <c r="M23" s="51" t="s">
        <v>20</v>
      </c>
      <c r="N23" s="51" t="s">
        <v>117</v>
      </c>
      <c r="O23" s="51" t="s">
        <v>118</v>
      </c>
      <c r="P23" s="51" t="s">
        <v>25</v>
      </c>
      <c r="Q23" s="20"/>
      <c r="R23" s="21"/>
      <c r="S23" s="21"/>
      <c r="T23" s="21"/>
      <c r="U23" s="18"/>
    </row>
    <row r="24" spans="1:26">
      <c r="A24" s="22" t="s">
        <v>26</v>
      </c>
      <c r="B24" s="23" t="s">
        <v>27</v>
      </c>
      <c r="C24" s="39">
        <f>PrevFY!E18</f>
        <v>0</v>
      </c>
      <c r="D24" s="39">
        <f>PrevFY!E9</f>
        <v>0</v>
      </c>
      <c r="E24" s="47">
        <f>Monthly!E18</f>
        <v>0</v>
      </c>
      <c r="F24" s="47">
        <f>Monthly!E9</f>
        <v>0</v>
      </c>
      <c r="G24" s="47">
        <f>YTD!E18</f>
        <v>0</v>
      </c>
      <c r="H24" s="47">
        <f>YTD!E9</f>
        <v>0</v>
      </c>
      <c r="I24" s="47">
        <f>Weely!E18</f>
        <v>0</v>
      </c>
      <c r="J24" s="47">
        <f>Weely!G18</f>
        <v>0</v>
      </c>
      <c r="K24" s="47">
        <f>Weely!I18</f>
        <v>0</v>
      </c>
      <c r="L24" s="47">
        <f>Weely!K18</f>
        <v>0</v>
      </c>
      <c r="M24" s="47">
        <f>Weely!M18</f>
        <v>0</v>
      </c>
      <c r="N24" s="47">
        <f>Daily!E19</f>
        <v>0</v>
      </c>
      <c r="O24" s="47">
        <f>Daily!E9</f>
        <v>0</v>
      </c>
      <c r="P24" s="47">
        <f>SUM(N24:O24)</f>
        <v>0</v>
      </c>
      <c r="Q24" s="20"/>
      <c r="R24" s="21"/>
      <c r="S24" s="21"/>
      <c r="T24" s="21"/>
      <c r="U24" s="18"/>
    </row>
    <row r="25" spans="1:26">
      <c r="A25" s="24" t="s">
        <v>28</v>
      </c>
      <c r="B25" s="23" t="s">
        <v>27</v>
      </c>
      <c r="C25" s="47">
        <f>PrevFY!E38</f>
        <v>0</v>
      </c>
      <c r="D25" s="47">
        <f>PrevFY!E28</f>
        <v>0</v>
      </c>
      <c r="E25" s="47">
        <f>Monthly!E38</f>
        <v>0</v>
      </c>
      <c r="F25" s="47">
        <f>Monthly!E28</f>
        <v>0</v>
      </c>
      <c r="G25" s="47">
        <f>YTD!E38</f>
        <v>0</v>
      </c>
      <c r="H25" s="47">
        <f>YTD!E28</f>
        <v>0</v>
      </c>
      <c r="I25" s="47">
        <f>Weely!E38</f>
        <v>0</v>
      </c>
      <c r="J25" s="47">
        <f>Weely!G38</f>
        <v>0</v>
      </c>
      <c r="K25" s="47">
        <f>Weely!I38</f>
        <v>0</v>
      </c>
      <c r="L25" s="47">
        <f>Weely!K38</f>
        <v>0</v>
      </c>
      <c r="M25" s="47">
        <f>Weely!M38</f>
        <v>0</v>
      </c>
      <c r="N25" s="41">
        <f>Daily!E38</f>
        <v>0</v>
      </c>
      <c r="O25" s="41">
        <f>Daily!E28</f>
        <v>0</v>
      </c>
      <c r="P25" s="47">
        <f>SUM(N25:O25)</f>
        <v>0</v>
      </c>
      <c r="Q25" s="21"/>
      <c r="R25" s="21"/>
      <c r="S25" s="21"/>
      <c r="T25" s="21"/>
      <c r="U25" s="18"/>
    </row>
    <row r="26" spans="1:26">
      <c r="A26" s="53"/>
      <c r="B26" s="54"/>
      <c r="C26" s="54"/>
      <c r="D26" s="54"/>
      <c r="E26" s="54"/>
      <c r="F26" s="54"/>
      <c r="G26" s="54"/>
      <c r="H26" s="54"/>
      <c r="I26" s="148" t="s">
        <v>120</v>
      </c>
      <c r="J26" s="136"/>
      <c r="K26" s="136"/>
      <c r="L26" s="136"/>
      <c r="M26" s="137"/>
      <c r="N26" s="54"/>
      <c r="O26" s="54"/>
      <c r="P26" s="54"/>
      <c r="Q26" s="54"/>
      <c r="R26" s="54"/>
      <c r="S26" s="54"/>
      <c r="T26" s="54"/>
      <c r="U26" s="25"/>
    </row>
    <row r="27" spans="1:26">
      <c r="A27" s="26"/>
      <c r="B27" s="27"/>
      <c r="C27" s="27"/>
      <c r="D27" s="27"/>
      <c r="E27" s="27"/>
      <c r="F27" s="27"/>
      <c r="G27" s="27"/>
      <c r="H27" s="27"/>
      <c r="I27" s="51" t="s">
        <v>16</v>
      </c>
      <c r="J27" s="51" t="s">
        <v>17</v>
      </c>
      <c r="K27" s="51" t="s">
        <v>18</v>
      </c>
      <c r="L27" s="51" t="s">
        <v>19</v>
      </c>
      <c r="M27" s="51" t="s">
        <v>20</v>
      </c>
      <c r="N27" s="27"/>
      <c r="O27" s="27"/>
      <c r="P27" s="27"/>
      <c r="Q27" s="27"/>
      <c r="R27" s="27"/>
      <c r="S27" s="27"/>
      <c r="T27" s="27"/>
      <c r="U27" s="28"/>
    </row>
    <row r="28" spans="1:26">
      <c r="A28" s="26"/>
      <c r="B28" s="27"/>
      <c r="C28" s="27"/>
      <c r="D28" s="27"/>
      <c r="E28" s="27"/>
      <c r="F28" s="27"/>
      <c r="G28" s="27"/>
      <c r="H28" s="29" t="s">
        <v>27</v>
      </c>
      <c r="I28" s="47">
        <f>Weely!E9</f>
        <v>0</v>
      </c>
      <c r="J28" s="47">
        <f>Weely!G9</f>
        <v>0</v>
      </c>
      <c r="K28" s="47">
        <f>Weely!I9</f>
        <v>0</v>
      </c>
      <c r="L28" s="47">
        <f>Weely!K9</f>
        <v>0</v>
      </c>
      <c r="M28" s="47">
        <f>Weely!M9</f>
        <v>0</v>
      </c>
      <c r="N28" s="27"/>
      <c r="O28" s="27"/>
      <c r="P28" s="27"/>
      <c r="Q28" s="27"/>
      <c r="R28" s="27"/>
      <c r="S28" s="27"/>
      <c r="T28" s="27"/>
      <c r="U28" s="28"/>
    </row>
    <row r="29" spans="1:26">
      <c r="A29" s="26"/>
      <c r="B29" s="27"/>
      <c r="C29" s="27"/>
      <c r="D29" s="27"/>
      <c r="E29" s="27"/>
      <c r="F29" s="27"/>
      <c r="G29" s="27"/>
      <c r="H29" s="30"/>
      <c r="I29" s="54"/>
      <c r="J29" s="54"/>
      <c r="K29" s="54"/>
      <c r="L29" s="54"/>
      <c r="M29" s="54"/>
      <c r="N29" s="27"/>
      <c r="O29" s="27"/>
      <c r="P29" s="27"/>
      <c r="Q29" s="27"/>
      <c r="R29" s="27"/>
      <c r="S29" s="27"/>
      <c r="T29" s="27"/>
      <c r="U29" s="28"/>
    </row>
    <row r="30" spans="1:26">
      <c r="A30" s="148" t="s">
        <v>123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7"/>
    </row>
    <row r="31" spans="1:26" s="1" customFormat="1" ht="45">
      <c r="A31" s="38" t="s">
        <v>126</v>
      </c>
      <c r="B31" s="19" t="s">
        <v>127</v>
      </c>
      <c r="C31" s="19" t="s">
        <v>128</v>
      </c>
      <c r="D31" s="50" t="s">
        <v>129</v>
      </c>
      <c r="E31" s="19" t="s">
        <v>130</v>
      </c>
      <c r="F31" s="50" t="s">
        <v>131</v>
      </c>
      <c r="G31" s="50" t="s">
        <v>132</v>
      </c>
      <c r="H31" s="50" t="s">
        <v>133</v>
      </c>
      <c r="I31" s="50" t="s">
        <v>111</v>
      </c>
      <c r="J31" s="50" t="s">
        <v>112</v>
      </c>
      <c r="K31" s="138" t="s">
        <v>113</v>
      </c>
      <c r="L31" s="138"/>
      <c r="M31" s="138" t="s">
        <v>114</v>
      </c>
      <c r="N31" s="138"/>
      <c r="O31" s="138" t="s">
        <v>115</v>
      </c>
      <c r="P31" s="138"/>
      <c r="Q31" s="132" t="s">
        <v>134</v>
      </c>
      <c r="R31" s="132"/>
      <c r="S31" s="132"/>
      <c r="T31" s="138" t="s">
        <v>135</v>
      </c>
      <c r="U31" s="139"/>
      <c r="V31" s="32"/>
      <c r="W31" s="33"/>
      <c r="X31" s="33"/>
      <c r="Y31" s="31"/>
      <c r="Z31" s="34"/>
    </row>
    <row r="32" spans="1:26">
      <c r="A32" s="40" t="s">
        <v>110</v>
      </c>
      <c r="B32" s="37">
        <v>8.3000000000000007</v>
      </c>
      <c r="C32" s="37">
        <v>17.3</v>
      </c>
      <c r="D32" s="45" t="s">
        <v>102</v>
      </c>
      <c r="E32" s="48">
        <f t="shared" ref="E32:E37" si="0">540-40-F32</f>
        <v>490</v>
      </c>
      <c r="F32" s="41">
        <v>10</v>
      </c>
      <c r="G32" s="49">
        <v>2</v>
      </c>
      <c r="H32" s="49">
        <v>10</v>
      </c>
      <c r="I32" s="49">
        <v>2</v>
      </c>
      <c r="J32" s="49">
        <v>1</v>
      </c>
      <c r="K32" s="106">
        <v>3</v>
      </c>
      <c r="L32" s="106"/>
      <c r="M32" s="106">
        <v>4</v>
      </c>
      <c r="N32" s="106"/>
      <c r="O32" s="106">
        <v>0</v>
      </c>
      <c r="P32" s="106"/>
      <c r="Q32" s="157" t="s">
        <v>116</v>
      </c>
      <c r="R32" s="157"/>
      <c r="S32" s="157"/>
      <c r="T32" s="106">
        <v>90</v>
      </c>
      <c r="U32" s="158"/>
      <c r="V32" s="30"/>
      <c r="W32" s="35"/>
      <c r="X32" s="54"/>
      <c r="Y32" s="35"/>
      <c r="Z32" s="35"/>
    </row>
    <row r="33" spans="1:26">
      <c r="A33" s="40" t="s">
        <v>110</v>
      </c>
      <c r="B33" s="37">
        <v>8.3000000000000007</v>
      </c>
      <c r="C33" s="37">
        <v>17.3</v>
      </c>
      <c r="D33" s="45" t="s">
        <v>103</v>
      </c>
      <c r="E33" s="48">
        <f t="shared" si="0"/>
        <v>490</v>
      </c>
      <c r="F33" s="41">
        <v>10</v>
      </c>
      <c r="G33" s="49"/>
      <c r="H33" s="49"/>
      <c r="I33" s="49"/>
      <c r="J33" s="49"/>
      <c r="K33" s="106"/>
      <c r="L33" s="106"/>
      <c r="M33" s="106"/>
      <c r="N33" s="106"/>
      <c r="O33" s="106"/>
      <c r="P33" s="106"/>
      <c r="Q33" s="157"/>
      <c r="R33" s="157"/>
      <c r="S33" s="157"/>
      <c r="T33" s="106">
        <v>88</v>
      </c>
      <c r="U33" s="158"/>
      <c r="V33" s="35"/>
      <c r="W33" s="35"/>
      <c r="X33" s="35"/>
      <c r="Y33" s="35"/>
      <c r="Z33" s="35"/>
    </row>
    <row r="34" spans="1:26">
      <c r="A34" s="40" t="s">
        <v>110</v>
      </c>
      <c r="B34" s="37">
        <v>8.3000000000000007</v>
      </c>
      <c r="C34" s="37">
        <v>17.3</v>
      </c>
      <c r="D34" s="45" t="s">
        <v>104</v>
      </c>
      <c r="E34" s="48">
        <f t="shared" si="0"/>
        <v>490</v>
      </c>
      <c r="F34" s="41">
        <v>10</v>
      </c>
      <c r="G34" s="49"/>
      <c r="H34" s="49"/>
      <c r="I34" s="49"/>
      <c r="J34" s="49"/>
      <c r="K34" s="106"/>
      <c r="L34" s="106"/>
      <c r="M34" s="106"/>
      <c r="N34" s="106"/>
      <c r="O34" s="106"/>
      <c r="P34" s="106"/>
      <c r="Q34" s="157"/>
      <c r="R34" s="157"/>
      <c r="S34" s="157"/>
      <c r="T34" s="106">
        <v>92</v>
      </c>
      <c r="U34" s="158"/>
    </row>
    <row r="35" spans="1:26">
      <c r="A35" s="40" t="s">
        <v>110</v>
      </c>
      <c r="B35" s="37">
        <v>8.3000000000000007</v>
      </c>
      <c r="C35" s="37">
        <v>17.3</v>
      </c>
      <c r="D35" s="45" t="s">
        <v>105</v>
      </c>
      <c r="E35" s="48">
        <f t="shared" si="0"/>
        <v>490</v>
      </c>
      <c r="F35" s="41">
        <v>10</v>
      </c>
      <c r="G35" s="49"/>
      <c r="H35" s="49"/>
      <c r="I35" s="49"/>
      <c r="J35" s="49"/>
      <c r="K35" s="106"/>
      <c r="L35" s="106"/>
      <c r="M35" s="106"/>
      <c r="N35" s="106"/>
      <c r="O35" s="106"/>
      <c r="P35" s="106"/>
      <c r="Q35" s="157"/>
      <c r="R35" s="157"/>
      <c r="S35" s="157"/>
      <c r="T35" s="106">
        <v>84</v>
      </c>
      <c r="U35" s="158"/>
    </row>
    <row r="36" spans="1:26">
      <c r="A36" s="40" t="s">
        <v>110</v>
      </c>
      <c r="B36" s="37">
        <v>8.3000000000000007</v>
      </c>
      <c r="C36" s="37">
        <v>17.3</v>
      </c>
      <c r="D36" s="45" t="s">
        <v>106</v>
      </c>
      <c r="E36" s="48">
        <f t="shared" si="0"/>
        <v>490</v>
      </c>
      <c r="F36" s="41">
        <v>10</v>
      </c>
      <c r="G36" s="49"/>
      <c r="H36" s="49"/>
      <c r="I36" s="49"/>
      <c r="J36" s="49"/>
      <c r="K36" s="106"/>
      <c r="L36" s="106"/>
      <c r="M36" s="106"/>
      <c r="N36" s="106"/>
      <c r="O36" s="106"/>
      <c r="P36" s="106"/>
      <c r="Q36" s="157"/>
      <c r="R36" s="157"/>
      <c r="S36" s="157"/>
      <c r="T36" s="106">
        <v>86</v>
      </c>
      <c r="U36" s="158"/>
    </row>
    <row r="37" spans="1:26">
      <c r="A37" s="40" t="s">
        <v>110</v>
      </c>
      <c r="B37" s="37">
        <v>8.3000000000000007</v>
      </c>
      <c r="C37" s="37">
        <v>17.3</v>
      </c>
      <c r="D37" s="45" t="s">
        <v>107</v>
      </c>
      <c r="E37" s="48">
        <f t="shared" si="0"/>
        <v>490</v>
      </c>
      <c r="F37" s="41">
        <v>10</v>
      </c>
      <c r="G37" s="49"/>
      <c r="H37" s="49"/>
      <c r="I37" s="49"/>
      <c r="J37" s="49"/>
      <c r="K37" s="106"/>
      <c r="L37" s="106"/>
      <c r="M37" s="106"/>
      <c r="N37" s="106"/>
      <c r="O37" s="106"/>
      <c r="P37" s="106"/>
      <c r="Q37" s="157"/>
      <c r="R37" s="157"/>
      <c r="S37" s="157"/>
      <c r="T37" s="106">
        <v>89</v>
      </c>
      <c r="U37" s="158"/>
    </row>
    <row r="38" spans="1:26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8"/>
    </row>
    <row r="39" spans="1:26">
      <c r="A39" s="162" t="s">
        <v>136</v>
      </c>
      <c r="B39" s="163"/>
      <c r="C39" s="163"/>
      <c r="D39" s="163"/>
      <c r="E39" s="169">
        <f>Daily!C3</f>
        <v>0</v>
      </c>
      <c r="F39" s="169"/>
      <c r="G39" s="169"/>
      <c r="H39" s="169"/>
      <c r="I39" s="169"/>
      <c r="J39" s="169"/>
      <c r="K39" s="169"/>
      <c r="L39" s="169"/>
      <c r="M39" s="169"/>
      <c r="N39" s="169"/>
      <c r="O39" s="118"/>
      <c r="P39" s="119"/>
      <c r="Q39" s="119"/>
      <c r="R39" s="119"/>
      <c r="S39" s="119"/>
      <c r="T39" s="119"/>
      <c r="U39" s="120"/>
    </row>
    <row r="40" spans="1:26">
      <c r="A40" s="164"/>
      <c r="B40" s="163"/>
      <c r="C40" s="163"/>
      <c r="D40" s="163"/>
      <c r="E40" s="168" t="s">
        <v>30</v>
      </c>
      <c r="F40" s="168"/>
      <c r="G40" s="168"/>
      <c r="H40" s="168"/>
      <c r="I40" s="168"/>
      <c r="J40" s="168"/>
      <c r="K40" s="168"/>
      <c r="L40" s="168"/>
      <c r="M40" s="168"/>
      <c r="N40" s="168"/>
      <c r="O40" s="121"/>
      <c r="P40" s="122"/>
      <c r="Q40" s="122"/>
      <c r="R40" s="122"/>
      <c r="S40" s="122"/>
      <c r="T40" s="122"/>
      <c r="U40" s="123"/>
    </row>
    <row r="41" spans="1:26" s="2" customFormat="1">
      <c r="A41" s="167" t="s">
        <v>31</v>
      </c>
      <c r="B41" s="168"/>
      <c r="C41" s="168"/>
      <c r="D41" s="168"/>
      <c r="E41" s="46" t="s">
        <v>32</v>
      </c>
      <c r="F41" s="46" t="s">
        <v>26</v>
      </c>
      <c r="G41" s="46" t="s">
        <v>33</v>
      </c>
      <c r="H41" s="46" t="s">
        <v>34</v>
      </c>
      <c r="I41" s="46" t="s">
        <v>35</v>
      </c>
      <c r="J41" s="46" t="s">
        <v>36</v>
      </c>
      <c r="K41" s="117" t="s">
        <v>117</v>
      </c>
      <c r="L41" s="117"/>
      <c r="M41" s="117" t="s">
        <v>122</v>
      </c>
      <c r="N41" s="117"/>
      <c r="O41" s="170" t="s">
        <v>124</v>
      </c>
      <c r="P41" s="124"/>
      <c r="Q41" s="124"/>
      <c r="R41" s="124"/>
      <c r="S41" s="124"/>
      <c r="T41" s="124"/>
      <c r="U41" s="125"/>
    </row>
    <row r="42" spans="1:26">
      <c r="A42" s="165" t="s">
        <v>137</v>
      </c>
      <c r="B42" s="166"/>
      <c r="C42" s="166"/>
      <c r="D42" s="166"/>
      <c r="E42" s="36">
        <f>'Line Stop_Prod Loss'!H5</f>
        <v>0</v>
      </c>
      <c r="F42" s="36">
        <f>I32+I33+I34+I35+I36+I37</f>
        <v>2</v>
      </c>
      <c r="G42" s="36">
        <f>'Line Stop_Prod Loss'!F5</f>
        <v>0</v>
      </c>
      <c r="H42" s="36">
        <f>'Line Stop_Prod Loss'!E5</f>
        <v>0</v>
      </c>
      <c r="I42" s="36">
        <f>'Line Stop_Prod Loss'!D5</f>
        <v>0</v>
      </c>
      <c r="J42" s="36">
        <f>'Line Stop_Prod Loss'!C5</f>
        <v>0</v>
      </c>
      <c r="K42" s="109">
        <v>0</v>
      </c>
      <c r="L42" s="109"/>
      <c r="M42" s="110">
        <v>0</v>
      </c>
      <c r="N42" s="111"/>
      <c r="O42" s="126" t="s">
        <v>121</v>
      </c>
      <c r="P42" s="127"/>
      <c r="Q42" s="127"/>
      <c r="R42" s="127"/>
      <c r="S42" s="127"/>
      <c r="T42" s="127"/>
      <c r="U42" s="128"/>
    </row>
    <row r="43" spans="1:26">
      <c r="A43" s="165" t="s">
        <v>138</v>
      </c>
      <c r="B43" s="166"/>
      <c r="C43" s="166"/>
      <c r="D43" s="166"/>
      <c r="E43" s="42">
        <f>'Line Stop_Prod Loss'!H6</f>
        <v>0</v>
      </c>
      <c r="F43" s="43">
        <f>'Line Stop_Prod Loss'!G6</f>
        <v>0</v>
      </c>
      <c r="G43" s="42">
        <f>'Line Stop_Prod Loss'!F6</f>
        <v>0</v>
      </c>
      <c r="H43" s="42">
        <f>'Line Stop_Prod Loss'!E6</f>
        <v>0</v>
      </c>
      <c r="I43" s="42">
        <f>'Line Stop_Prod Loss'!D6</f>
        <v>0</v>
      </c>
      <c r="J43" s="42">
        <f>'Line Stop_Prod Loss'!C6</f>
        <v>0</v>
      </c>
      <c r="K43" s="109">
        <v>0</v>
      </c>
      <c r="L43" s="109"/>
      <c r="M43" s="110">
        <v>0</v>
      </c>
      <c r="N43" s="111"/>
      <c r="O43" s="126" t="s">
        <v>121</v>
      </c>
      <c r="P43" s="127"/>
      <c r="Q43" s="127"/>
      <c r="R43" s="127"/>
      <c r="S43" s="127"/>
      <c r="T43" s="127"/>
      <c r="U43" s="128"/>
    </row>
    <row r="44" spans="1:26">
      <c r="A44" s="165" t="s">
        <v>139</v>
      </c>
      <c r="B44" s="166"/>
      <c r="C44" s="166"/>
      <c r="D44" s="166"/>
      <c r="E44" s="42">
        <f>'Line Stop_Prod Loss'!H7</f>
        <v>0</v>
      </c>
      <c r="F44" s="43">
        <f>'Line Stop_Prod Loss'!G7</f>
        <v>0</v>
      </c>
      <c r="G44" s="42">
        <f>'Line Stop_Prod Loss'!F7</f>
        <v>0</v>
      </c>
      <c r="H44" s="42">
        <f>'Line Stop_Prod Loss'!E7</f>
        <v>0</v>
      </c>
      <c r="I44" s="42">
        <f>'Line Stop_Prod Loss'!D7</f>
        <v>0</v>
      </c>
      <c r="J44" s="42">
        <f>'Line Stop_Prod Loss'!C7</f>
        <v>0</v>
      </c>
      <c r="K44" s="109">
        <v>0</v>
      </c>
      <c r="L44" s="109"/>
      <c r="M44" s="110">
        <v>0</v>
      </c>
      <c r="N44" s="111"/>
      <c r="O44" s="126" t="s">
        <v>121</v>
      </c>
      <c r="P44" s="127"/>
      <c r="Q44" s="127"/>
      <c r="R44" s="127"/>
      <c r="S44" s="127"/>
      <c r="T44" s="127"/>
      <c r="U44" s="128"/>
    </row>
    <row r="45" spans="1:26">
      <c r="A45" s="165" t="s">
        <v>140</v>
      </c>
      <c r="B45" s="166"/>
      <c r="C45" s="166"/>
      <c r="D45" s="166"/>
      <c r="E45" s="42">
        <f>'Line Stop_Prod Loss'!H8</f>
        <v>0</v>
      </c>
      <c r="F45" s="43">
        <f>'Line Stop_Prod Loss'!G8</f>
        <v>0</v>
      </c>
      <c r="G45" s="42">
        <f>'Line Stop_Prod Loss'!F8</f>
        <v>0</v>
      </c>
      <c r="H45" s="42">
        <f>'Line Stop_Prod Loss'!E8</f>
        <v>0</v>
      </c>
      <c r="I45" s="42">
        <f>'Line Stop_Prod Loss'!D8</f>
        <v>0</v>
      </c>
      <c r="J45" s="42">
        <f>'Line Stop_Prod Loss'!C8</f>
        <v>0</v>
      </c>
      <c r="K45" s="109">
        <v>0</v>
      </c>
      <c r="L45" s="109"/>
      <c r="M45" s="110">
        <v>0</v>
      </c>
      <c r="N45" s="111"/>
      <c r="O45" s="126" t="s">
        <v>121</v>
      </c>
      <c r="P45" s="127"/>
      <c r="Q45" s="127"/>
      <c r="R45" s="127"/>
      <c r="S45" s="127"/>
      <c r="T45" s="127"/>
      <c r="U45" s="128"/>
    </row>
    <row r="46" spans="1:26" ht="15.75" thickBot="1">
      <c r="A46" s="160" t="s">
        <v>37</v>
      </c>
      <c r="B46" s="161"/>
      <c r="C46" s="161"/>
      <c r="D46" s="161"/>
      <c r="E46" s="56">
        <v>0</v>
      </c>
      <c r="F46" s="44">
        <v>0</v>
      </c>
      <c r="G46" s="56">
        <v>0</v>
      </c>
      <c r="H46" s="56">
        <v>0</v>
      </c>
      <c r="I46" s="56">
        <v>0</v>
      </c>
      <c r="J46" s="56">
        <v>0</v>
      </c>
      <c r="K46" s="108">
        <v>0</v>
      </c>
      <c r="L46" s="108"/>
      <c r="M46" s="112">
        <v>0</v>
      </c>
      <c r="N46" s="113"/>
      <c r="O46" s="114" t="s">
        <v>121</v>
      </c>
      <c r="P46" s="115"/>
      <c r="Q46" s="115"/>
      <c r="R46" s="115"/>
      <c r="S46" s="115"/>
      <c r="T46" s="115"/>
      <c r="U46" s="116"/>
    </row>
    <row r="47" spans="1:26">
      <c r="L47" s="1"/>
    </row>
  </sheetData>
  <sheetProtection formatCells="0" formatColumns="0" formatRows="0" insertColumns="0" insertRows="0" insertHyperlinks="0" deleteColumns="0" deleteRows="0" sort="0" autoFilter="0" pivotTables="0"/>
  <mergeCells count="95">
    <mergeCell ref="A46:D46"/>
    <mergeCell ref="K46:L46"/>
    <mergeCell ref="M46:N46"/>
    <mergeCell ref="O46:U46"/>
    <mergeCell ref="A44:D44"/>
    <mergeCell ref="K44:L44"/>
    <mergeCell ref="M44:N44"/>
    <mergeCell ref="O44:U44"/>
    <mergeCell ref="A45:D45"/>
    <mergeCell ref="K45:L45"/>
    <mergeCell ref="M45:N45"/>
    <mergeCell ref="O45:U45"/>
    <mergeCell ref="A42:D42"/>
    <mergeCell ref="K42:L42"/>
    <mergeCell ref="M42:N42"/>
    <mergeCell ref="O42:U42"/>
    <mergeCell ref="A43:D43"/>
    <mergeCell ref="K43:L43"/>
    <mergeCell ref="M43:N43"/>
    <mergeCell ref="O43:U43"/>
    <mergeCell ref="A39:D40"/>
    <mergeCell ref="E39:N39"/>
    <mergeCell ref="O39:U40"/>
    <mergeCell ref="E40:N40"/>
    <mergeCell ref="A41:D41"/>
    <mergeCell ref="K41:L41"/>
    <mergeCell ref="M41:N41"/>
    <mergeCell ref="O41:U41"/>
    <mergeCell ref="K36:L36"/>
    <mergeCell ref="M36:N36"/>
    <mergeCell ref="O36:P36"/>
    <mergeCell ref="Q36:S36"/>
    <mergeCell ref="T36:U36"/>
    <mergeCell ref="K37:L37"/>
    <mergeCell ref="M37:N37"/>
    <mergeCell ref="O37:P37"/>
    <mergeCell ref="Q37:S37"/>
    <mergeCell ref="T37:U37"/>
    <mergeCell ref="K34:L34"/>
    <mergeCell ref="M34:N34"/>
    <mergeCell ref="O34:P34"/>
    <mergeCell ref="Q34:S34"/>
    <mergeCell ref="T34:U34"/>
    <mergeCell ref="K35:L35"/>
    <mergeCell ref="M35:N35"/>
    <mergeCell ref="O35:P35"/>
    <mergeCell ref="Q35:S35"/>
    <mergeCell ref="T35:U35"/>
    <mergeCell ref="K32:L32"/>
    <mergeCell ref="M32:N32"/>
    <mergeCell ref="O32:P32"/>
    <mergeCell ref="Q32:S32"/>
    <mergeCell ref="T32:U32"/>
    <mergeCell ref="K33:L33"/>
    <mergeCell ref="M33:N33"/>
    <mergeCell ref="O33:P33"/>
    <mergeCell ref="Q33:S33"/>
    <mergeCell ref="T33:U33"/>
    <mergeCell ref="A23:B23"/>
    <mergeCell ref="I26:M26"/>
    <mergeCell ref="A30:U30"/>
    <mergeCell ref="K31:L31"/>
    <mergeCell ref="M31:N31"/>
    <mergeCell ref="O31:P31"/>
    <mergeCell ref="Q31:S31"/>
    <mergeCell ref="T31:U31"/>
    <mergeCell ref="I22:M22"/>
    <mergeCell ref="N22:P22"/>
    <mergeCell ref="A10:D10"/>
    <mergeCell ref="A11:D11"/>
    <mergeCell ref="A12:D12"/>
    <mergeCell ref="A13:D13"/>
    <mergeCell ref="A14:D14"/>
    <mergeCell ref="A15:B15"/>
    <mergeCell ref="C15:D15"/>
    <mergeCell ref="E15:H15"/>
    <mergeCell ref="I15:M15"/>
    <mergeCell ref="N15:P15"/>
    <mergeCell ref="A16:B16"/>
    <mergeCell ref="I19:M19"/>
    <mergeCell ref="A8:D9"/>
    <mergeCell ref="E8:G8"/>
    <mergeCell ref="I8:M8"/>
    <mergeCell ref="N8:P8"/>
    <mergeCell ref="Q8:S8"/>
    <mergeCell ref="E9:G9"/>
    <mergeCell ref="I9:M9"/>
    <mergeCell ref="N9:P9"/>
    <mergeCell ref="Q9:S9"/>
    <mergeCell ref="B7:C7"/>
    <mergeCell ref="A1:U2"/>
    <mergeCell ref="P4:T4"/>
    <mergeCell ref="P5:T5"/>
    <mergeCell ref="B6:C6"/>
    <mergeCell ref="P6:T6"/>
  </mergeCells>
  <pageMargins left="0.7" right="0.7" top="0.75" bottom="0.75" header="0.3" footer="0.3"/>
  <pageSetup paperSize="9" scale="49" orientation="landscape" r:id="rId1"/>
  <rowBreaks count="2" manualBreakCount="2">
    <brk id="1" max="20" man="1"/>
    <brk id="72" max="20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34"/>
  <sheetViews>
    <sheetView zoomScale="80" zoomScaleNormal="80" workbookViewId="0">
      <selection activeCell="I12" sqref="I12"/>
    </sheetView>
  </sheetViews>
  <sheetFormatPr defaultRowHeight="15"/>
  <cols>
    <col min="1" max="1" width="6.85546875" style="61" bestFit="1" customWidth="1"/>
    <col min="2" max="2" width="14.42578125" style="1" customWidth="1"/>
    <col min="3" max="3" width="35.28515625" style="70" customWidth="1"/>
    <col min="4" max="4" width="42.7109375" style="75" customWidth="1"/>
    <col min="5" max="5" width="21.42578125" style="93" customWidth="1"/>
    <col min="6" max="6" width="11.7109375" style="61" bestFit="1" customWidth="1"/>
    <col min="7" max="7" width="25.7109375" customWidth="1"/>
    <col min="8" max="8" width="11.7109375" style="61" bestFit="1" customWidth="1"/>
    <col min="9" max="9" width="27.140625" style="1" customWidth="1"/>
    <col min="10" max="10" width="11.7109375" style="61" bestFit="1" customWidth="1"/>
  </cols>
  <sheetData>
    <row r="2" spans="1:10">
      <c r="A2" s="171"/>
      <c r="B2" s="172"/>
      <c r="C2" s="172"/>
      <c r="D2" s="172"/>
      <c r="E2" s="172"/>
      <c r="F2" s="172"/>
      <c r="G2" s="172"/>
      <c r="H2" s="172"/>
      <c r="I2" s="172"/>
      <c r="J2" s="173"/>
    </row>
    <row r="3" spans="1:10">
      <c r="A3" s="64" t="s">
        <v>153</v>
      </c>
      <c r="B3" s="64" t="s">
        <v>172</v>
      </c>
      <c r="C3" s="67" t="s">
        <v>151</v>
      </c>
      <c r="D3" s="71" t="s">
        <v>152</v>
      </c>
      <c r="E3" s="65" t="s">
        <v>201</v>
      </c>
      <c r="F3" s="64" t="s">
        <v>193</v>
      </c>
      <c r="G3" s="64" t="s">
        <v>150</v>
      </c>
      <c r="H3" s="64" t="s">
        <v>193</v>
      </c>
      <c r="I3" s="64" t="s">
        <v>224</v>
      </c>
      <c r="J3" s="64" t="s">
        <v>193</v>
      </c>
    </row>
    <row r="4" spans="1:10">
      <c r="A4" s="62">
        <v>1</v>
      </c>
      <c r="B4" s="177" t="s">
        <v>173</v>
      </c>
      <c r="C4" s="76" t="s">
        <v>1</v>
      </c>
      <c r="D4" s="77" t="s">
        <v>176</v>
      </c>
      <c r="E4" s="91" t="s">
        <v>202</v>
      </c>
      <c r="F4" s="62"/>
      <c r="G4" s="1"/>
      <c r="H4" s="62"/>
      <c r="J4" s="62"/>
    </row>
    <row r="5" spans="1:10" ht="30">
      <c r="A5" s="62">
        <v>2</v>
      </c>
      <c r="B5" s="178"/>
      <c r="C5" s="78" t="s">
        <v>2</v>
      </c>
      <c r="D5" s="79" t="s">
        <v>194</v>
      </c>
      <c r="E5" s="91" t="s">
        <v>202</v>
      </c>
      <c r="F5" s="62"/>
      <c r="G5" s="85"/>
      <c r="H5" s="62"/>
      <c r="I5" s="180" t="s">
        <v>198</v>
      </c>
      <c r="J5" s="81" t="s">
        <v>228</v>
      </c>
    </row>
    <row r="6" spans="1:10" ht="30">
      <c r="A6" s="62">
        <v>3</v>
      </c>
      <c r="B6" s="178"/>
      <c r="C6" s="76" t="s">
        <v>4</v>
      </c>
      <c r="D6" s="80" t="s">
        <v>195</v>
      </c>
      <c r="E6" s="91" t="s">
        <v>202</v>
      </c>
      <c r="F6" s="62"/>
      <c r="G6" s="85"/>
      <c r="H6" s="62"/>
      <c r="I6" s="181"/>
      <c r="J6" s="81" t="s">
        <v>227</v>
      </c>
    </row>
    <row r="7" spans="1:10" ht="30">
      <c r="A7" s="62">
        <v>4</v>
      </c>
      <c r="B7" s="178"/>
      <c r="C7" s="68" t="s">
        <v>154</v>
      </c>
      <c r="D7" s="73" t="s">
        <v>155</v>
      </c>
      <c r="E7" s="81" t="s">
        <v>203</v>
      </c>
      <c r="F7" s="62"/>
      <c r="G7" s="85"/>
      <c r="H7" s="62"/>
      <c r="I7" s="85" t="s">
        <v>197</v>
      </c>
      <c r="J7" s="90">
        <v>46177</v>
      </c>
    </row>
    <row r="8" spans="1:10">
      <c r="A8" s="62">
        <v>5</v>
      </c>
      <c r="B8" s="178"/>
      <c r="C8" s="76" t="s">
        <v>156</v>
      </c>
      <c r="D8" s="80" t="s">
        <v>157</v>
      </c>
      <c r="E8" s="81" t="s">
        <v>202</v>
      </c>
      <c r="F8" s="62"/>
      <c r="G8" s="66"/>
      <c r="H8" s="62"/>
      <c r="I8" s="66"/>
      <c r="J8" s="62"/>
    </row>
    <row r="9" spans="1:10" ht="45">
      <c r="A9" s="62">
        <v>6</v>
      </c>
      <c r="B9" s="178"/>
      <c r="C9" s="82" t="s">
        <v>205</v>
      </c>
      <c r="D9" s="83" t="s">
        <v>206</v>
      </c>
      <c r="E9" s="81" t="s">
        <v>202</v>
      </c>
      <c r="F9" s="90"/>
      <c r="G9" s="66"/>
      <c r="H9" s="62"/>
      <c r="I9" s="66"/>
      <c r="J9" s="62"/>
    </row>
    <row r="10" spans="1:10">
      <c r="A10" s="62">
        <v>7</v>
      </c>
      <c r="B10" s="178"/>
      <c r="C10" s="82" t="s">
        <v>211</v>
      </c>
      <c r="D10" s="83" t="s">
        <v>210</v>
      </c>
      <c r="E10" s="81" t="s">
        <v>202</v>
      </c>
      <c r="F10" s="90"/>
      <c r="G10" s="66"/>
      <c r="H10" s="62"/>
      <c r="I10" s="66"/>
      <c r="J10" s="62"/>
    </row>
    <row r="11" spans="1:10" ht="30">
      <c r="A11" s="62">
        <v>8</v>
      </c>
      <c r="B11" s="178"/>
      <c r="C11" s="82" t="s">
        <v>158</v>
      </c>
      <c r="D11" s="83" t="s">
        <v>207</v>
      </c>
      <c r="E11" s="81" t="s">
        <v>202</v>
      </c>
      <c r="F11" s="90"/>
      <c r="G11" s="66"/>
      <c r="H11" s="62"/>
      <c r="I11" s="66"/>
      <c r="J11" s="62"/>
    </row>
    <row r="12" spans="1:10" ht="30">
      <c r="A12" s="62">
        <v>9</v>
      </c>
      <c r="B12" s="178"/>
      <c r="C12" s="82" t="s">
        <v>160</v>
      </c>
      <c r="D12" s="83" t="s">
        <v>178</v>
      </c>
      <c r="E12" s="81" t="s">
        <v>202</v>
      </c>
      <c r="F12" s="90"/>
      <c r="G12" s="86" t="s">
        <v>199</v>
      </c>
      <c r="H12" s="62"/>
      <c r="I12" s="85"/>
      <c r="J12" s="62"/>
    </row>
    <row r="13" spans="1:10" ht="45">
      <c r="A13" s="62">
        <v>10</v>
      </c>
      <c r="B13" s="178"/>
      <c r="C13" s="82" t="s">
        <v>159</v>
      </c>
      <c r="D13" s="83" t="s">
        <v>206</v>
      </c>
      <c r="E13" s="81" t="s">
        <v>202</v>
      </c>
      <c r="F13" s="90"/>
      <c r="G13" s="66"/>
      <c r="H13" s="62"/>
      <c r="I13" s="66"/>
      <c r="J13" s="62"/>
    </row>
    <row r="14" spans="1:10" ht="45">
      <c r="A14" s="62">
        <v>11</v>
      </c>
      <c r="B14" s="178"/>
      <c r="C14" s="82" t="s">
        <v>161</v>
      </c>
      <c r="D14" s="83" t="s">
        <v>212</v>
      </c>
      <c r="E14" s="81" t="s">
        <v>202</v>
      </c>
      <c r="F14" s="90"/>
      <c r="G14" s="66"/>
      <c r="H14" s="62"/>
      <c r="I14" s="66"/>
      <c r="J14" s="62"/>
    </row>
    <row r="15" spans="1:10" ht="45">
      <c r="A15" s="62">
        <v>12</v>
      </c>
      <c r="B15" s="178"/>
      <c r="C15" s="82" t="s">
        <v>162</v>
      </c>
      <c r="D15" s="83" t="s">
        <v>213</v>
      </c>
      <c r="E15" s="81" t="s">
        <v>202</v>
      </c>
      <c r="F15" s="90"/>
      <c r="G15" s="66"/>
      <c r="H15" s="62"/>
      <c r="I15" s="66"/>
      <c r="J15" s="62"/>
    </row>
    <row r="16" spans="1:10" ht="45">
      <c r="A16" s="62">
        <v>13</v>
      </c>
      <c r="B16" s="178"/>
      <c r="C16" s="82" t="s">
        <v>181</v>
      </c>
      <c r="D16" s="83" t="s">
        <v>214</v>
      </c>
      <c r="E16" s="81" t="s">
        <v>202</v>
      </c>
      <c r="F16" s="90"/>
      <c r="G16" s="66"/>
      <c r="H16" s="62"/>
      <c r="I16" s="66"/>
      <c r="J16" s="62"/>
    </row>
    <row r="17" spans="1:10" ht="30">
      <c r="A17" s="62">
        <v>14</v>
      </c>
      <c r="B17" s="178"/>
      <c r="C17" s="82" t="s">
        <v>182</v>
      </c>
      <c r="D17" s="83" t="s">
        <v>177</v>
      </c>
      <c r="E17" s="81" t="s">
        <v>202</v>
      </c>
      <c r="F17" s="90"/>
      <c r="G17" s="66"/>
      <c r="H17" s="62"/>
      <c r="I17" s="66"/>
      <c r="J17" s="62"/>
    </row>
    <row r="18" spans="1:10" ht="30">
      <c r="A18" s="62"/>
      <c r="B18" s="178"/>
      <c r="C18" s="82" t="s">
        <v>200</v>
      </c>
      <c r="D18" s="83" t="s">
        <v>178</v>
      </c>
      <c r="E18" s="81" t="s">
        <v>202</v>
      </c>
      <c r="F18" s="90"/>
      <c r="G18" s="85" t="s">
        <v>225</v>
      </c>
      <c r="H18" s="90">
        <v>46177</v>
      </c>
      <c r="I18" s="85"/>
      <c r="J18" s="62"/>
    </row>
    <row r="19" spans="1:10" ht="30">
      <c r="A19" s="62">
        <v>15</v>
      </c>
      <c r="B19" s="178"/>
      <c r="C19" s="68" t="s">
        <v>179</v>
      </c>
      <c r="D19" s="73" t="s">
        <v>163</v>
      </c>
      <c r="E19" s="81" t="s">
        <v>203</v>
      </c>
      <c r="F19" s="62"/>
      <c r="G19" s="66"/>
      <c r="H19" s="62"/>
      <c r="I19" s="66"/>
      <c r="J19" s="62"/>
    </row>
    <row r="20" spans="1:10" ht="30">
      <c r="A20" s="62">
        <v>16</v>
      </c>
      <c r="B20" s="178"/>
      <c r="C20" s="68" t="s">
        <v>180</v>
      </c>
      <c r="D20" s="73" t="s">
        <v>196</v>
      </c>
      <c r="E20" s="81" t="s">
        <v>203</v>
      </c>
      <c r="F20" s="62"/>
      <c r="G20" s="66"/>
      <c r="H20" s="62"/>
      <c r="I20" s="66"/>
      <c r="J20" s="62"/>
    </row>
    <row r="21" spans="1:10" ht="45">
      <c r="A21" s="62">
        <v>17</v>
      </c>
      <c r="B21" s="179"/>
      <c r="C21" s="68" t="s">
        <v>183</v>
      </c>
      <c r="D21" s="73" t="s">
        <v>164</v>
      </c>
      <c r="E21" s="81" t="s">
        <v>203</v>
      </c>
      <c r="F21" s="62"/>
      <c r="G21" s="85" t="s">
        <v>226</v>
      </c>
      <c r="H21" s="90"/>
      <c r="I21" s="85"/>
      <c r="J21" s="62"/>
    </row>
    <row r="22" spans="1:10">
      <c r="A22" s="62">
        <v>18</v>
      </c>
      <c r="B22" s="174" t="s">
        <v>174</v>
      </c>
      <c r="C22" s="76" t="s">
        <v>184</v>
      </c>
      <c r="D22" s="87" t="s">
        <v>165</v>
      </c>
      <c r="E22" s="81" t="s">
        <v>202</v>
      </c>
      <c r="F22" s="62"/>
      <c r="G22" s="66"/>
      <c r="H22" s="62"/>
      <c r="I22" s="66"/>
      <c r="J22" s="62"/>
    </row>
    <row r="23" spans="1:10" ht="30">
      <c r="A23" s="62">
        <v>19</v>
      </c>
      <c r="B23" s="176"/>
      <c r="C23" s="68" t="s">
        <v>185</v>
      </c>
      <c r="D23" s="72" t="s">
        <v>166</v>
      </c>
      <c r="E23" s="81" t="s">
        <v>202</v>
      </c>
      <c r="F23" s="62"/>
      <c r="G23" s="85"/>
      <c r="H23" s="62"/>
      <c r="I23" s="85" t="s">
        <v>215</v>
      </c>
      <c r="J23" s="90">
        <v>46177</v>
      </c>
    </row>
    <row r="24" spans="1:10" ht="30">
      <c r="A24" s="62">
        <v>20</v>
      </c>
      <c r="B24" s="176"/>
      <c r="C24" s="68" t="s">
        <v>189</v>
      </c>
      <c r="D24" s="73" t="s">
        <v>218</v>
      </c>
      <c r="E24" s="81" t="s">
        <v>203</v>
      </c>
      <c r="F24" s="62"/>
      <c r="G24" s="85" t="s">
        <v>217</v>
      </c>
      <c r="H24" s="90">
        <v>46177</v>
      </c>
      <c r="I24" s="85"/>
      <c r="J24" s="62"/>
    </row>
    <row r="25" spans="1:10" ht="30">
      <c r="A25" s="62">
        <v>21</v>
      </c>
      <c r="B25" s="176"/>
      <c r="C25" s="68" t="s">
        <v>190</v>
      </c>
      <c r="D25" s="73" t="s">
        <v>169</v>
      </c>
      <c r="E25" s="81" t="s">
        <v>203</v>
      </c>
      <c r="F25" s="62"/>
      <c r="G25" s="85" t="s">
        <v>219</v>
      </c>
      <c r="H25" s="90">
        <v>46178</v>
      </c>
      <c r="I25" s="85"/>
      <c r="J25" s="62"/>
    </row>
    <row r="26" spans="1:10" ht="45">
      <c r="A26" s="62">
        <v>22</v>
      </c>
      <c r="B26" s="176"/>
      <c r="C26" s="68" t="s">
        <v>191</v>
      </c>
      <c r="D26" s="73" t="s">
        <v>168</v>
      </c>
      <c r="E26" s="81" t="s">
        <v>203</v>
      </c>
      <c r="F26" s="62"/>
      <c r="G26" s="85"/>
      <c r="H26" s="62"/>
      <c r="I26" s="85" t="s">
        <v>216</v>
      </c>
      <c r="J26" s="90">
        <v>46179</v>
      </c>
    </row>
    <row r="27" spans="1:10" ht="30">
      <c r="A27" s="62">
        <v>23</v>
      </c>
      <c r="B27" s="175"/>
      <c r="C27" s="68" t="s">
        <v>192</v>
      </c>
      <c r="D27" s="73" t="s">
        <v>167</v>
      </c>
      <c r="E27" s="81" t="s">
        <v>203</v>
      </c>
      <c r="F27" s="62"/>
      <c r="G27" s="85" t="s">
        <v>222</v>
      </c>
      <c r="H27" s="90">
        <v>46178</v>
      </c>
      <c r="I27" s="85"/>
      <c r="J27" s="62"/>
    </row>
    <row r="28" spans="1:10">
      <c r="A28" s="62">
        <v>24</v>
      </c>
      <c r="B28" s="174" t="s">
        <v>175</v>
      </c>
      <c r="C28" s="76" t="s">
        <v>188</v>
      </c>
      <c r="D28" s="80" t="s">
        <v>170</v>
      </c>
      <c r="E28" s="81" t="s">
        <v>204</v>
      </c>
      <c r="F28" s="62"/>
      <c r="G28" s="63" t="s">
        <v>223</v>
      </c>
      <c r="H28" s="62"/>
      <c r="I28" s="63"/>
      <c r="J28" s="62"/>
    </row>
    <row r="29" spans="1:10">
      <c r="A29" s="62">
        <v>25</v>
      </c>
      <c r="B29" s="175"/>
      <c r="C29" s="68" t="s">
        <v>124</v>
      </c>
      <c r="D29" s="73" t="s">
        <v>171</v>
      </c>
      <c r="E29" s="81" t="s">
        <v>203</v>
      </c>
      <c r="F29" s="62"/>
      <c r="G29" s="66"/>
      <c r="H29" s="62"/>
      <c r="I29" s="66"/>
      <c r="J29" s="62"/>
    </row>
    <row r="30" spans="1:10" ht="45">
      <c r="A30" s="62">
        <v>26</v>
      </c>
      <c r="B30" s="66"/>
      <c r="C30" s="76" t="s">
        <v>186</v>
      </c>
      <c r="D30" s="89" t="s">
        <v>221</v>
      </c>
      <c r="E30" s="81" t="s">
        <v>202</v>
      </c>
      <c r="F30" s="62"/>
      <c r="G30" s="86" t="s">
        <v>208</v>
      </c>
      <c r="H30" s="90"/>
      <c r="I30" s="86"/>
      <c r="J30" s="62"/>
    </row>
    <row r="31" spans="1:10" ht="30">
      <c r="A31" s="62">
        <v>27</v>
      </c>
      <c r="B31" s="66"/>
      <c r="C31" s="84" t="s">
        <v>187</v>
      </c>
      <c r="D31" s="88" t="s">
        <v>220</v>
      </c>
      <c r="E31" s="81" t="s">
        <v>203</v>
      </c>
      <c r="F31" s="62"/>
      <c r="G31" s="85" t="s">
        <v>209</v>
      </c>
      <c r="H31" s="90">
        <v>46177</v>
      </c>
      <c r="I31" s="63"/>
      <c r="J31" s="62"/>
    </row>
    <row r="32" spans="1:10">
      <c r="A32" s="62">
        <v>28</v>
      </c>
      <c r="B32" s="66"/>
      <c r="C32" s="68" t="s">
        <v>229</v>
      </c>
      <c r="D32" s="74"/>
      <c r="E32" s="92"/>
      <c r="F32" s="62"/>
      <c r="G32" s="66"/>
      <c r="H32" s="62"/>
      <c r="I32" s="68" t="s">
        <v>232</v>
      </c>
      <c r="J32" s="90">
        <v>46178</v>
      </c>
    </row>
    <row r="33" spans="1:10">
      <c r="A33" s="62">
        <v>29</v>
      </c>
      <c r="B33" s="66"/>
      <c r="C33" s="68" t="s">
        <v>230</v>
      </c>
      <c r="D33" s="74"/>
      <c r="E33" s="92"/>
      <c r="F33" s="62"/>
      <c r="G33" s="66"/>
      <c r="H33" s="62"/>
      <c r="I33" s="68" t="s">
        <v>231</v>
      </c>
      <c r="J33" s="90">
        <v>46178</v>
      </c>
    </row>
    <row r="34" spans="1:10">
      <c r="A34" s="62">
        <v>30</v>
      </c>
      <c r="B34" s="66"/>
      <c r="C34" s="69"/>
      <c r="D34" s="74"/>
      <c r="E34" s="92"/>
      <c r="F34" s="62"/>
      <c r="G34" s="66"/>
      <c r="H34" s="62"/>
      <c r="I34" s="66"/>
      <c r="J34" s="62"/>
    </row>
  </sheetData>
  <mergeCells count="5">
    <mergeCell ref="A2:J2"/>
    <mergeCell ref="B28:B29"/>
    <mergeCell ref="B22:B27"/>
    <mergeCell ref="B4:B21"/>
    <mergeCell ref="I5:I6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2"/>
  <sheetViews>
    <sheetView workbookViewId="0">
      <selection activeCell="L3" sqref="L3"/>
    </sheetView>
  </sheetViews>
  <sheetFormatPr defaultColWidth="9" defaultRowHeight="15"/>
  <cols>
    <col min="12" max="12" width="9.7109375" customWidth="1"/>
  </cols>
  <sheetData>
    <row r="1" spans="2:13">
      <c r="B1" t="s">
        <v>38</v>
      </c>
    </row>
    <row r="2" spans="2:13">
      <c r="C2" t="s">
        <v>39</v>
      </c>
      <c r="D2" t="s">
        <v>40</v>
      </c>
      <c r="E2" t="s">
        <v>41</v>
      </c>
      <c r="F2" t="s">
        <v>42</v>
      </c>
      <c r="L2" t="s">
        <v>43</v>
      </c>
      <c r="M2" t="s">
        <v>44</v>
      </c>
    </row>
    <row r="3" spans="2:13"/>
    <row r="11" spans="2:13">
      <c r="B11" t="s">
        <v>45</v>
      </c>
    </row>
    <row r="12" spans="2:13">
      <c r="C12" t="s">
        <v>39</v>
      </c>
      <c r="D12" t="s">
        <v>40</v>
      </c>
      <c r="E12" t="s">
        <v>41</v>
      </c>
      <c r="F12" t="s">
        <v>42</v>
      </c>
    </row>
    <row r="13" spans="2:13"/>
    <row r="20" spans="2:6">
      <c r="B20" t="s">
        <v>46</v>
      </c>
    </row>
    <row r="21" spans="2:6">
      <c r="C21" t="s">
        <v>39</v>
      </c>
      <c r="D21" t="s">
        <v>40</v>
      </c>
      <c r="E21" t="s">
        <v>41</v>
      </c>
      <c r="F21" t="s">
        <v>42</v>
      </c>
    </row>
    <row r="22" spans="2:6"/>
    <row r="30" spans="2:6">
      <c r="B30" t="s">
        <v>47</v>
      </c>
    </row>
    <row r="31" spans="2:6">
      <c r="C31" t="s">
        <v>39</v>
      </c>
      <c r="D31" t="s">
        <v>40</v>
      </c>
      <c r="E31" t="s">
        <v>41</v>
      </c>
      <c r="F31" t="s">
        <v>42</v>
      </c>
    </row>
    <row r="32" spans="2:6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44"/>
  <sheetViews>
    <sheetView workbookViewId="0">
      <selection activeCell="B24" sqref="B24"/>
    </sheetView>
  </sheetViews>
  <sheetFormatPr defaultColWidth="9" defaultRowHeight="15"/>
  <cols>
    <col min="2" max="2" width="33.140625" customWidth="1"/>
    <col min="3" max="3" width="10.140625" customWidth="1"/>
    <col min="4" max="4" width="9.85546875" customWidth="1"/>
    <col min="5" max="5" width="10" customWidth="1"/>
  </cols>
  <sheetData>
    <row r="2" spans="1:15">
      <c r="B2" t="s">
        <v>48</v>
      </c>
    </row>
    <row r="4" spans="1:15">
      <c r="A4">
        <v>1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</row>
    <row r="5" spans="1:15"/>
    <row r="21" spans="1:15">
      <c r="B21" t="s">
        <v>63</v>
      </c>
    </row>
    <row r="23" spans="1:15">
      <c r="A23">
        <v>2</v>
      </c>
      <c r="B23" t="s">
        <v>49</v>
      </c>
      <c r="C23" t="s">
        <v>50</v>
      </c>
      <c r="D23" t="s">
        <v>51</v>
      </c>
      <c r="E23" t="s">
        <v>52</v>
      </c>
      <c r="F23" t="s">
        <v>53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 t="s">
        <v>60</v>
      </c>
      <c r="N23" t="s">
        <v>61</v>
      </c>
      <c r="O23" t="s">
        <v>62</v>
      </c>
    </row>
    <row r="24" spans="1:15"/>
    <row r="41" spans="1:13">
      <c r="B41" t="s">
        <v>64</v>
      </c>
    </row>
    <row r="43" spans="1:13">
      <c r="A43">
        <v>3</v>
      </c>
      <c r="B43" t="s">
        <v>65</v>
      </c>
      <c r="C43" t="s">
        <v>66</v>
      </c>
      <c r="D43" t="s">
        <v>67</v>
      </c>
      <c r="E43" t="s">
        <v>68</v>
      </c>
      <c r="F43" t="s">
        <v>69</v>
      </c>
      <c r="G43" t="s">
        <v>70</v>
      </c>
      <c r="H43" t="s">
        <v>71</v>
      </c>
      <c r="I43" t="s">
        <v>72</v>
      </c>
      <c r="J43" t="s">
        <v>73</v>
      </c>
      <c r="K43" t="s">
        <v>74</v>
      </c>
      <c r="L43" t="s">
        <v>75</v>
      </c>
      <c r="M43" t="s">
        <v>76</v>
      </c>
    </row>
    <row r="44" spans="1:13"/>
  </sheetData>
  <pageMargins left="0.7" right="0.7" top="0.75" bottom="0.75" header="0.3" footer="0.3"/>
  <pageSetup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32"/>
  <sheetViews>
    <sheetView workbookViewId="0">
      <selection activeCell="B24" sqref="B24"/>
    </sheetView>
  </sheetViews>
  <sheetFormatPr defaultColWidth="9" defaultRowHeight="15"/>
  <sheetData>
    <row r="1" spans="2:13">
      <c r="B1" t="s">
        <v>38</v>
      </c>
    </row>
    <row r="2" spans="2:13">
      <c r="C2" t="s">
        <v>77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</row>
    <row r="3" spans="2:13"/>
    <row r="10" spans="2:13">
      <c r="B10" t="s">
        <v>45</v>
      </c>
    </row>
    <row r="11" spans="2:13">
      <c r="C11" t="s">
        <v>77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86</v>
      </c>
      <c r="M11" t="s">
        <v>87</v>
      </c>
    </row>
    <row r="12" spans="2:13"/>
    <row r="20" spans="2:13">
      <c r="B20" t="s">
        <v>46</v>
      </c>
    </row>
    <row r="21" spans="2:13"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 t="s">
        <v>84</v>
      </c>
      <c r="K21" t="s">
        <v>85</v>
      </c>
      <c r="L21" t="s">
        <v>86</v>
      </c>
      <c r="M21" t="s">
        <v>87</v>
      </c>
    </row>
    <row r="22" spans="2:13"/>
    <row r="30" spans="2:13">
      <c r="B30" t="s">
        <v>47</v>
      </c>
    </row>
    <row r="31" spans="2:13">
      <c r="C31" t="s">
        <v>77</v>
      </c>
      <c r="D31" t="s">
        <v>78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 t="s">
        <v>84</v>
      </c>
      <c r="K31" t="s">
        <v>85</v>
      </c>
      <c r="L31" t="s">
        <v>86</v>
      </c>
      <c r="M31" t="s">
        <v>87</v>
      </c>
    </row>
    <row r="32" spans="2:13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32"/>
  <sheetViews>
    <sheetView workbookViewId="0">
      <selection activeCell="C31" sqref="C31:F32"/>
    </sheetView>
  </sheetViews>
  <sheetFormatPr defaultColWidth="9" defaultRowHeight="15"/>
  <sheetData>
    <row r="1" spans="2:6">
      <c r="B1" t="s">
        <v>38</v>
      </c>
    </row>
    <row r="2" spans="2:6">
      <c r="C2" t="s">
        <v>88</v>
      </c>
      <c r="D2" t="s">
        <v>89</v>
      </c>
      <c r="E2" t="s">
        <v>90</v>
      </c>
      <c r="F2" t="s">
        <v>42</v>
      </c>
    </row>
    <row r="3" spans="2:6"/>
    <row r="10" spans="2:6">
      <c r="B10" t="s">
        <v>45</v>
      </c>
    </row>
    <row r="11" spans="2:6">
      <c r="C11" t="s">
        <v>88</v>
      </c>
      <c r="D11" t="s">
        <v>89</v>
      </c>
      <c r="E11" t="s">
        <v>90</v>
      </c>
      <c r="F11" t="s">
        <v>42</v>
      </c>
    </row>
    <row r="12" spans="2:6"/>
    <row r="20" spans="2:6">
      <c r="B20" t="s">
        <v>46</v>
      </c>
    </row>
    <row r="21" spans="2:6">
      <c r="C21" t="s">
        <v>88</v>
      </c>
      <c r="D21" t="s">
        <v>89</v>
      </c>
      <c r="E21" t="s">
        <v>90</v>
      </c>
      <c r="F21" t="s">
        <v>42</v>
      </c>
    </row>
    <row r="22" spans="2:6"/>
    <row r="30" spans="2:6">
      <c r="B30" t="s">
        <v>47</v>
      </c>
    </row>
    <row r="31" spans="2:6">
      <c r="C31" t="s">
        <v>88</v>
      </c>
      <c r="D31" t="s">
        <v>89</v>
      </c>
      <c r="E31" t="s">
        <v>90</v>
      </c>
      <c r="F31" t="s">
        <v>42</v>
      </c>
    </row>
    <row r="32" spans="2:6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F12"/>
  <sheetViews>
    <sheetView workbookViewId="0">
      <selection activeCell="C11" sqref="C11:F12"/>
    </sheetView>
  </sheetViews>
  <sheetFormatPr defaultColWidth="9" defaultRowHeight="15"/>
  <sheetData>
    <row r="1" spans="2:6">
      <c r="B1" t="s">
        <v>38</v>
      </c>
    </row>
    <row r="2" spans="2:6">
      <c r="C2" t="s">
        <v>91</v>
      </c>
      <c r="D2" t="s">
        <v>92</v>
      </c>
      <c r="E2" t="s">
        <v>93</v>
      </c>
      <c r="F2" t="s">
        <v>42</v>
      </c>
    </row>
    <row r="3" spans="2:6"/>
    <row r="10" spans="2:6">
      <c r="B10" t="s">
        <v>45</v>
      </c>
    </row>
    <row r="11" spans="2:6">
      <c r="C11" t="s">
        <v>91</v>
      </c>
      <c r="D11" t="s">
        <v>92</v>
      </c>
      <c r="E11" t="s">
        <v>93</v>
      </c>
      <c r="F11" t="s">
        <v>42</v>
      </c>
    </row>
    <row r="12" spans="2:6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32"/>
  <sheetViews>
    <sheetView workbookViewId="0">
      <selection activeCell="C31" sqref="C31:F32"/>
    </sheetView>
  </sheetViews>
  <sheetFormatPr defaultColWidth="9" defaultRowHeight="15"/>
  <sheetData>
    <row r="1" spans="2:8">
      <c r="B1" t="s">
        <v>38</v>
      </c>
    </row>
    <row r="2" spans="2:8">
      <c r="C2" t="s">
        <v>94</v>
      </c>
      <c r="D2" t="s">
        <v>95</v>
      </c>
      <c r="E2" t="s">
        <v>96</v>
      </c>
      <c r="F2" t="s">
        <v>42</v>
      </c>
    </row>
    <row r="3" spans="2:8">
      <c r="B3" t="s">
        <v>97</v>
      </c>
      <c r="H3" t="e">
        <f ca="1">_xlfn.CONCAT(B3,C3)</f>
        <v>#NAME?</v>
      </c>
    </row>
    <row r="10" spans="2:8">
      <c r="B10" t="s">
        <v>45</v>
      </c>
    </row>
    <row r="11" spans="2:8">
      <c r="C11" t="s">
        <v>94</v>
      </c>
      <c r="D11" t="s">
        <v>95</v>
      </c>
      <c r="E11" t="s">
        <v>96</v>
      </c>
      <c r="F11" t="s">
        <v>42</v>
      </c>
    </row>
    <row r="12" spans="2:8">
      <c r="B12" t="s">
        <v>98</v>
      </c>
      <c r="H12" t="e">
        <f ca="1">_xlfn.CONCAT(B12,C12)</f>
        <v>#NAME?</v>
      </c>
    </row>
    <row r="20" spans="2:6">
      <c r="B20" t="s">
        <v>46</v>
      </c>
    </row>
    <row r="21" spans="2:6">
      <c r="C21" t="s">
        <v>94</v>
      </c>
      <c r="D21" t="s">
        <v>95</v>
      </c>
      <c r="E21" t="s">
        <v>96</v>
      </c>
      <c r="F21" t="s">
        <v>42</v>
      </c>
    </row>
    <row r="22" spans="2:6"/>
    <row r="30" spans="2:6">
      <c r="B30" t="s">
        <v>47</v>
      </c>
    </row>
    <row r="31" spans="2:6">
      <c r="C31" t="s">
        <v>94</v>
      </c>
      <c r="D31" t="s">
        <v>95</v>
      </c>
      <c r="E31" t="s">
        <v>96</v>
      </c>
      <c r="F31" t="s">
        <v>42</v>
      </c>
    </row>
    <row r="32" spans="2:6"/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32"/>
  <sheetViews>
    <sheetView workbookViewId="0">
      <selection activeCell="C31" sqref="C31:F32"/>
    </sheetView>
  </sheetViews>
  <sheetFormatPr defaultColWidth="9" defaultRowHeight="15"/>
  <sheetData>
    <row r="1" spans="2:8">
      <c r="B1" t="s">
        <v>38</v>
      </c>
    </row>
    <row r="2" spans="2:8">
      <c r="C2" t="s">
        <v>99</v>
      </c>
      <c r="D2" t="s">
        <v>100</v>
      </c>
      <c r="E2" t="s">
        <v>90</v>
      </c>
      <c r="F2" t="s">
        <v>42</v>
      </c>
    </row>
    <row r="3" spans="2:8">
      <c r="B3" t="s">
        <v>101</v>
      </c>
      <c r="H3" t="e">
        <f ca="1">_xlfn.CONCAT(B3,C3)</f>
        <v>#NAME?</v>
      </c>
    </row>
    <row r="10" spans="2:8">
      <c r="B10" t="s">
        <v>45</v>
      </c>
    </row>
    <row r="11" spans="2:8">
      <c r="C11" t="s">
        <v>99</v>
      </c>
      <c r="D11" t="s">
        <v>100</v>
      </c>
      <c r="E11" t="s">
        <v>90</v>
      </c>
      <c r="F11" t="s">
        <v>42</v>
      </c>
    </row>
    <row r="12" spans="2:8">
      <c r="B12" t="s">
        <v>101</v>
      </c>
    </row>
    <row r="20" spans="2:6">
      <c r="B20" t="s">
        <v>46</v>
      </c>
    </row>
    <row r="21" spans="2:6">
      <c r="C21" t="s">
        <v>99</v>
      </c>
      <c r="D21" t="s">
        <v>100</v>
      </c>
      <c r="E21" t="s">
        <v>90</v>
      </c>
      <c r="F21" t="s">
        <v>42</v>
      </c>
    </row>
    <row r="22" spans="2:6">
      <c r="B22" t="s">
        <v>101</v>
      </c>
    </row>
    <row r="30" spans="2:6">
      <c r="B30" t="s">
        <v>47</v>
      </c>
    </row>
    <row r="31" spans="2:6">
      <c r="C31" t="s">
        <v>99</v>
      </c>
      <c r="D31" t="s">
        <v>100</v>
      </c>
      <c r="E31" t="s">
        <v>90</v>
      </c>
      <c r="F31" t="s">
        <v>42</v>
      </c>
    </row>
    <row r="32" spans="2:6">
      <c r="B3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981EA-C52F-4210-BCB6-17DB068F9ED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28</vt:i4>
      </vt:variant>
    </vt:vector>
  </HeadingPairs>
  <TitlesOfParts>
    <vt:vector size="38" baseType="lpstr">
      <vt:lpstr>SQL Work</vt:lpstr>
      <vt:lpstr>PLC Work</vt:lpstr>
      <vt:lpstr>Work Activity</vt:lpstr>
      <vt:lpstr>Daily</vt:lpstr>
      <vt:lpstr>Line Stop_Prod Loss</vt:lpstr>
      <vt:lpstr>Weely</vt:lpstr>
      <vt:lpstr>Monthly</vt:lpstr>
      <vt:lpstr>MTD</vt:lpstr>
      <vt:lpstr>YTD</vt:lpstr>
      <vt:lpstr>PrevFY</vt:lpstr>
      <vt:lpstr>Daily_C12_F13</vt:lpstr>
      <vt:lpstr>Daily_C2_F3</vt:lpstr>
      <vt:lpstr>Daily_C21_F22</vt:lpstr>
      <vt:lpstr>Daily_C31_F32</vt:lpstr>
      <vt:lpstr>Daily_L2_M3</vt:lpstr>
      <vt:lpstr>Line_Stop_Prod_Loss_B23_O24</vt:lpstr>
      <vt:lpstr>Line_Stop_Prod_Loss_B4_O5</vt:lpstr>
      <vt:lpstr>Line_Stop_Prod_Loss_B43_M44</vt:lpstr>
      <vt:lpstr>Monthly_C11_F12</vt:lpstr>
      <vt:lpstr>Monthly_C2_F3</vt:lpstr>
      <vt:lpstr>Monthly_C21_F22</vt:lpstr>
      <vt:lpstr>Monthly_C31_F32</vt:lpstr>
      <vt:lpstr>MTD_C11_F12</vt:lpstr>
      <vt:lpstr>MTD_C2_F3</vt:lpstr>
      <vt:lpstr>PrevFY_C11_F12</vt:lpstr>
      <vt:lpstr>PrevFY_C2_F3</vt:lpstr>
      <vt:lpstr>PrevFY_C21_F22</vt:lpstr>
      <vt:lpstr>PrevFY_C31_F32</vt:lpstr>
      <vt:lpstr>'PLC Work'!Print_Area</vt:lpstr>
      <vt:lpstr>'SQL Work'!Print_Area</vt:lpstr>
      <vt:lpstr>Weely_C11_M12</vt:lpstr>
      <vt:lpstr>Weely_C2_M3</vt:lpstr>
      <vt:lpstr>Weely_C21_M22</vt:lpstr>
      <vt:lpstr>Weely_C31_M32</vt:lpstr>
      <vt:lpstr>YTD_C11_F12</vt:lpstr>
      <vt:lpstr>YTD_C2_F3</vt:lpstr>
      <vt:lpstr>YTD_C21_F22</vt:lpstr>
      <vt:lpstr>YTD_C31_F32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2006-09-16T00:00:00Z</dcterms:created>
  <dcterms:modified xsi:type="dcterms:W3CDTF">2026-06-05T04:53:32Z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408DD1E7D71E4B45A07D64CD5180090F_12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