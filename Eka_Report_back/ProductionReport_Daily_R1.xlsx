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itin Aher\EKA, Chakan - ANDON\Report New Req\09062026\"/>
    </mc:Choice>
  </mc:AlternateContent>
  <bookViews>
    <workbookView xWindow="0" yWindow="0" windowWidth="20490" windowHeight="7755"/>
  </bookViews>
  <sheets>
    <sheet name="Daily Report" sheetId="11" r:id="rId1"/>
    <sheet name="Daily" sheetId="4" state="hidden" r:id="rId2"/>
    <sheet name="Line Stop_Prod Loss" sheetId="5" state="hidden" r:id="rId3"/>
    <sheet name="Weely" sheetId="6" state="hidden" r:id="rId4"/>
    <sheet name="Monthly" sheetId="7" state="hidden" r:id="rId5"/>
    <sheet name="MTD" sheetId="8" state="hidden" r:id="rId6"/>
    <sheet name="YTD" sheetId="9" state="hidden" r:id="rId7"/>
    <sheet name="PrevFY" sheetId="10" state="hidden" r:id="rId8"/>
  </sheets>
  <definedNames>
    <definedName name="Daily_C12_F13">Daily!$C$12:$F$13</definedName>
    <definedName name="Daily_C2_F3">Daily!$C$2:$F$3</definedName>
    <definedName name="Daily_C21_F22">Daily!$C$21:$F$22</definedName>
    <definedName name="Daily_C31_F32">Daily!$C$31:$F$32</definedName>
    <definedName name="Daily_L2_M3">Daily!$L$2:$M$3</definedName>
    <definedName name="Line_Stop_Prod_Loss_B23_O24">'Line Stop_Prod Loss'!$B$23:$O$24</definedName>
    <definedName name="Line_Stop_Prod_Loss_B4_O5">'Line Stop_Prod Loss'!$B$4:$O$5</definedName>
    <definedName name="Line_Stop_Prod_Loss_B43_M44">'Line Stop_Prod Loss'!$B$43:$M$44</definedName>
    <definedName name="Monthly_C11_F12">Monthly!$C$11:$F$12</definedName>
    <definedName name="Monthly_C2_F3">Monthly!$C$2:$F$3</definedName>
    <definedName name="Monthly_C21_F22">Monthly!$C$21:$F$22</definedName>
    <definedName name="Monthly_C31_F32">Monthly!$C$31:$F$32</definedName>
    <definedName name="MTD_C11_F12">MTD!$C$11:$F$12</definedName>
    <definedName name="MTD_C2_F3">MTD!$C$2:$F$3</definedName>
    <definedName name="PrevFY_C11_F12">PrevFY!$C$11:$F$12</definedName>
    <definedName name="PrevFY_C2_F3">PrevFY!$C$2:$F$3</definedName>
    <definedName name="PrevFY_C21_F22">PrevFY!$C$21:$F$22</definedName>
    <definedName name="PrevFY_C31_F32">PrevFY!$C$31:$F$32</definedName>
    <definedName name="Weely_C11_M12">Weely!$C$11:$M$12</definedName>
    <definedName name="Weely_C2_M3">Weely!$C$2:$M$3</definedName>
    <definedName name="Weely_C21_M22">Weely!$C$21:$M$22</definedName>
    <definedName name="Weely_C31_M32">Weely!$C$31:$M$32</definedName>
    <definedName name="YTD_C11_F12">YTD!$C$11:$F$12</definedName>
    <definedName name="YTD_C2_F3">YTD!$C$2:$F$3</definedName>
    <definedName name="YTD_C21_F22">YTD!$C$21:$F$22</definedName>
    <definedName name="YTD_C31_F32">YTD!$C$31:$F$32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8" i="11" l="1"/>
  <c r="AG47" i="11"/>
  <c r="AG35" i="11"/>
  <c r="AG34" i="11"/>
  <c r="AG22" i="11"/>
  <c r="AG21" i="11"/>
  <c r="AG9" i="11"/>
  <c r="AG8" i="11"/>
  <c r="F32" i="10" l="1"/>
  <c r="F22" i="10"/>
  <c r="F12" i="10"/>
  <c r="H3" i="10"/>
  <c r="F3" i="10"/>
  <c r="H12" i="9"/>
  <c r="H3" i="9"/>
</calcChain>
</file>

<file path=xl/comments1.xml><?xml version="1.0" encoding="utf-8"?>
<comments xmlns="http://schemas.openxmlformats.org/spreadsheetml/2006/main">
  <authors>
    <author>DELL</author>
    <author>Administrator</author>
  </authors>
  <commentList>
    <comment ref="AH2" authorId="0" shapeId="0">
      <text>
        <r>
          <rPr>
            <sz val="11"/>
            <color theme="1"/>
            <rFont val="Calibri"/>
            <charset val="134"/>
            <scheme val="minor"/>
          </rPr>
          <t>DELL:
Production month</t>
        </r>
      </text>
    </comment>
    <comment ref="AH3" authorId="1" shapeId="0">
      <text>
        <r>
          <rPr>
            <sz val="11"/>
            <color theme="1"/>
            <rFont val="Calibri"/>
            <charset val="134"/>
            <scheme val="minor"/>
          </rPr>
          <t xml:space="preserve">Administrator:
REPORT GENERATION DATE &amp; TIME 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{{Date}} : Date.
NAMED RANGE: Daily_C2_F2.</t>
        </r>
      </text>
    </comment>
    <comment ref="D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{{TargetCount}} : TargetCount.
NAMED RANGE: Daily_C2_F2.</t>
        </r>
      </text>
    </comment>
    <comment ref="E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{{ActualCount}} : ActualCount.
NAMED RANGE: Daily_C2_F2.</t>
        </r>
      </text>
    </comment>
    <comment ref="F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Daily_C2_F2.</t>
        </r>
      </text>
    </comment>
    <comment ref="L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{{total_working_days}} : total_working_days.
NAMED RANGE: Daily_L2_M2.</t>
        </r>
      </text>
    </comment>
    <comment ref="M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{{working_days_left}} : working_days_left.
NAMED RANGE: Daily_L2_M2.</t>
        </r>
      </text>
    </comment>
    <comment ref="C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{{Date}} : Date NAMED RANGE: Daily_C2_F2.</t>
        </r>
      </text>
    </comment>
    <comment ref="D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{{TargetCount}} : TargetCount NAMED RANGE: Daily_C2_F2.</t>
        </r>
      </text>
    </comment>
    <comment ref="E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{{ActualCount}} : ActualCount NAMED RANGE: Daily_C2_F2.</t>
        </r>
      </text>
    </comment>
    <comment ref="F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Daily_C2_F2.</t>
        </r>
      </text>
    </comment>
    <comment ref="L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{{total_working_days}} : total_working_days NAMED RANGE: Daily_L2_M2.</t>
        </r>
      </text>
    </comment>
    <comment ref="M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{{working_days_left}} : working_days_left NAMED RANGE: Daily_L2_M2.</t>
        </r>
      </text>
    </comment>
    <comment ref="C1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{{Date}} : Date.
NAMED RANGE: Daily_C12_F12.</t>
        </r>
      </text>
    </comment>
    <comment ref="D1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{{TargetCount}} : TargetCount.
NAMED RANGE: Daily_C12_F12.</t>
        </r>
      </text>
    </comment>
    <comment ref="E1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{{ActualCount}} : ActualCount.
NAMED RANGE: Daily_C12_F12.</t>
        </r>
      </text>
    </comment>
    <comment ref="F1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Daily_C12_F12.</t>
        </r>
      </text>
    </comment>
    <comment ref="C1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{{Date}} : Date NAMED RANGE: Daily_C12_F12.</t>
        </r>
      </text>
    </comment>
    <comment ref="D1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{{TargetCount}} : TargetCount NAMED RANGE: Daily_C12_F12.</t>
        </r>
      </text>
    </comment>
    <comment ref="E1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{{ActualCount}} : ActualCount NAMED RANGE: Daily_C12_F12.</t>
        </r>
      </text>
    </comment>
    <comment ref="F1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Daily_C12_F12.</t>
        </r>
      </text>
    </comment>
    <comment ref="C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{{Date}} : Date.
NAMED RANGE: Daily_C21_F21.</t>
        </r>
      </text>
    </comment>
    <comment ref="D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{{TargetCount}} : TargetCount.
NAMED RANGE: Daily_C21_F21.</t>
        </r>
      </text>
    </comment>
    <comment ref="E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{{ActualCount}} : ActualCount.
NAMED RANGE: Daily_C21_F21.</t>
        </r>
      </text>
    </comment>
    <comment ref="F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Daily_C21_F21.</t>
        </r>
      </text>
    </comment>
    <comment ref="C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{{Date}} : Date NAMED RANGE: Daily_C21_F21.</t>
        </r>
      </text>
    </comment>
    <comment ref="D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{{TargetCount}} : TargetCount NAMED RANGE: Daily_C21_F21.</t>
        </r>
      </text>
    </comment>
    <comment ref="E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{{ActualCount}} : ActualCount NAMED RANGE: Daily_C21_F21.</t>
        </r>
      </text>
    </comment>
    <comment ref="F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Daily_C21_F21.</t>
        </r>
      </text>
    </comment>
    <comment ref="C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{{Date}} : Date.
NAMED RANGE: Daily_C31_F31.</t>
        </r>
      </text>
    </comment>
    <comment ref="D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{{TargetCount}} : TargetCount.
NAMED RANGE: Daily_C31_F31.</t>
        </r>
      </text>
    </comment>
    <comment ref="E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{{ActualCount}} : ActualCount.
NAMED RANGE: Daily_C31_F31.</t>
        </r>
      </text>
    </comment>
    <comment ref="F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Daily_C31_F31.</t>
        </r>
      </text>
    </comment>
    <comment ref="C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{{Date}} : Date NAMED RANGE: Daily_C31_F31.</t>
        </r>
      </text>
    </comment>
    <comment ref="D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{{TargetCount}} : TargetCount NAMED RANGE: Daily_C31_F31.</t>
        </r>
      </text>
    </comment>
    <comment ref="E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{{ActualCount}} : ActualCount NAMED RANGE: Daily_C31_F31.</t>
        </r>
      </text>
    </comment>
    <comment ref="F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Daily_C31_F31.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B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{{TypeOfCallText}} : TypeOfCallText.
NAMED RANGE: Line Stop_Prod Loss_B4_O4.</t>
        </r>
      </text>
    </comment>
    <comment ref="C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Sub_Minutes}} : I-Puma Sub_Minutes.
NAMED RANGE: Line Stop_Prod Loss_B4_O4.</t>
        </r>
      </text>
    </comment>
    <comment ref="D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Main_Minutes}} : I-Puma Main_Minutes.
NAMED RANGE: Line Stop_Prod Loss_B4_O4.</t>
        </r>
      </text>
    </comment>
    <comment ref="E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Sub_Minutes}} : BIW Sub_Minutes.
NAMED RANGE: Line Stop_Prod Loss_B4_O4.</t>
        </r>
      </text>
    </comment>
    <comment ref="F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Main_Minutes}} : BIW Main_Minutes.
NAMED RANGE: Line Stop_Prod Loss_B4_O4.</t>
        </r>
      </text>
    </comment>
    <comment ref="G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{{Micky_Minutes}} : Micky_Minutes.
NAMED RANGE: Line Stop_Prod Loss_B4_O4.</t>
        </r>
      </text>
    </comment>
    <comment ref="H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{{D+6_Minutes}} : D+6_Minutes.
NAMED RANGE: Line Stop_Prod Loss_B4_O4.</t>
        </r>
      </text>
    </comment>
    <comment ref="I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{{Total_Minutes}} : Total_Minutes.
NAMED RANGE: Line Stop_Prod Loss_B4_O4.</t>
        </r>
      </text>
    </comment>
    <comment ref="J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Sub_TopReason1}} : I-Puma Sub_TopReason1.
NAMED RANGE: Line Stop_Prod Loss_B4_O4.</t>
        </r>
      </text>
    </comment>
    <comment ref="K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Main_TopReason1}} : I-Puma Main_TopReason1.
NAMED RANGE: Line Stop_Prod Loss_B4_O4.</t>
        </r>
      </text>
    </comment>
    <comment ref="L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Sub_TopReason1}} : BIW Sub_TopReason1.
NAMED RANGE: Line Stop_Prod Loss_B4_O4.</t>
        </r>
      </text>
    </comment>
    <comment ref="M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Main_TopReason1}} : BIW Main_TopReason1.
NAMED RANGE: Line Stop_Prod Loss_B4_O4.</t>
        </r>
      </text>
    </comment>
    <comment ref="N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{{Micky_TopReason1}} : Micky_TopReason1.
NAMED RANGE: Line Stop_Prod Loss_B4_O4.</t>
        </r>
      </text>
    </comment>
    <comment ref="O4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{{D+6_TopReason1}} : D+6_TopReason1.
NAMED RANGE: Line Stop_Prod Loss_B4_O4.</t>
        </r>
      </text>
    </comment>
    <comment ref="B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{{TypeOfCallText}} : TypeOfCallText NAMED RANGE: Line Stop_Prod Loss_B4_O4.</t>
        </r>
      </text>
    </comment>
    <comment ref="C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Sub_Minutes}} : I-Puma Sub_Minutes NAMED RANGE: Line Stop_Prod Loss_B4_O4.</t>
        </r>
      </text>
    </comment>
    <comment ref="D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Main_Minutes}} : I-Puma Main_Minutes NAMED RANGE: Line Stop_Prod Loss_B4_O4.</t>
        </r>
      </text>
    </comment>
    <comment ref="E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Sub_Minutes}} : BIW Sub_Minutes NAMED RANGE: Line Stop_Prod Loss_B4_O4.</t>
        </r>
      </text>
    </comment>
    <comment ref="F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Main_Minutes}} : BIW Main_Minutes NAMED RANGE: Line Stop_Prod Loss_B4_O4.</t>
        </r>
      </text>
    </comment>
    <comment ref="G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{{Micky_Minutes}} : Micky_Minutes NAMED RANGE: Line Stop_Prod Loss_B4_O4.</t>
        </r>
      </text>
    </comment>
    <comment ref="H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{{D+6_Minutes}} : D+6_Minutes NAMED RANGE: Line Stop_Prod Loss_B4_O4.</t>
        </r>
      </text>
    </comment>
    <comment ref="I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{{Total_Minutes}} : Total_Minutes NAMED RANGE: Line Stop_Prod Loss_B4_O4.</t>
        </r>
      </text>
    </comment>
    <comment ref="J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Sub_TopReason1}} : I-Puma Sub_TopReason1 NAMED RANGE: Line Stop_Prod Loss_B4_O4.</t>
        </r>
      </text>
    </comment>
    <comment ref="K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Main_TopReason1}} : I-Puma Main_TopReason1 NAMED RANGE: Line Stop_Prod Loss_B4_O4.</t>
        </r>
      </text>
    </comment>
    <comment ref="L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Sub_TopReason1}} : BIW Sub_TopReason1 NAMED RANGE: Line Stop_Prod Loss_B4_O4.</t>
        </r>
      </text>
    </comment>
    <comment ref="M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Main_TopReason1}} : BIW Main_TopReason1 NAMED RANGE: Line Stop_Prod Loss_B4_O4.</t>
        </r>
      </text>
    </comment>
    <comment ref="N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{{Micky_TopReason1}} : Micky_TopReason1 NAMED RANGE: Line Stop_Prod Loss_B4_O4.</t>
        </r>
      </text>
    </comment>
    <comment ref="O5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{{D+6_TopReason1}} : D+6_TopReason1 NAMED RANGE: Line Stop_Prod Loss_B4_O4.</t>
        </r>
      </text>
    </comment>
    <comment ref="B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{{TypeOfCallText}} : TypeOfCallText.
NAMED RANGE: Line Stop_Prod Loss_B23_O23.</t>
        </r>
      </text>
    </comment>
    <comment ref="C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Sub_Minutes}} : I-Puma Sub_Minutes.
NAMED RANGE: Line Stop_Prod Loss_B23_O23.</t>
        </r>
      </text>
    </comment>
    <comment ref="D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Main_Minutes}} : I-Puma Main_Minutes.
NAMED RANGE: Line Stop_Prod Loss_B23_O23.</t>
        </r>
      </text>
    </comment>
    <comment ref="E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Sub_Minutes}} : BIW Sub_Minutes.
NAMED RANGE: Line Stop_Prod Loss_B23_O23.</t>
        </r>
      </text>
    </comment>
    <comment ref="F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Main_Minutes}} : BIW Main_Minutes.
NAMED RANGE: Line Stop_Prod Loss_B23_O23.</t>
        </r>
      </text>
    </comment>
    <comment ref="G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{{Micky_Minutes}} : Micky_Minutes.
NAMED RANGE: Line Stop_Prod Loss_B23_O23.</t>
        </r>
      </text>
    </comment>
    <comment ref="H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{{D+6_Minutes}} : D+6_Minutes.
NAMED RANGE: Line Stop_Prod Loss_B23_O23.</t>
        </r>
      </text>
    </comment>
    <comment ref="I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{{Total_Minutes}} : Total_Minutes.
NAMED RANGE: Line Stop_Prod Loss_B23_O23.</t>
        </r>
      </text>
    </comment>
    <comment ref="J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Sub_TopReason1}} : I-Puma Sub_TopReason1.
NAMED RANGE: Line Stop_Prod Loss_B23_O23.</t>
        </r>
      </text>
    </comment>
    <comment ref="K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{{I-Puma Main_TopReason1}} : I-Puma Main_TopReason1.
NAMED RANGE: Line Stop_Prod Loss_B23_O23.</t>
        </r>
      </text>
    </comment>
    <comment ref="L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Sub_TopReason1}} : BIW Sub_TopReason1.
NAMED RANGE: Line Stop_Prod Loss_B23_O23.</t>
        </r>
      </text>
    </comment>
    <comment ref="M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{{BIW Main_TopReason1}} : BIW Main_TopReason1.
NAMED RANGE: Line Stop_Prod Loss_B23_O23.</t>
        </r>
      </text>
    </comment>
    <comment ref="N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{{Micky_TopReason1}} : Micky_TopReason1.
NAMED RANGE: Line Stop_Prod Loss_B23_O23.</t>
        </r>
      </text>
    </comment>
    <comment ref="O2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{{D+6_TopReason1}} : D+6_TopReason1.
NAMED RANGE: Line Stop_Prod Loss_B23_O23.</t>
        </r>
      </text>
    </comment>
    <comment ref="B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{{TypeOfCallText}} : TypeOfCallText NAMED RANGE: Line Stop_Prod Loss_B23_O23.</t>
        </r>
      </text>
    </comment>
    <comment ref="C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Sub_Minutes}} : I-Puma Sub_Minutes NAMED RANGE: Line Stop_Prod Loss_B23_O23.</t>
        </r>
      </text>
    </comment>
    <comment ref="D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Main_Minutes}} : I-Puma Main_Minutes NAMED RANGE: Line Stop_Prod Loss_B23_O23.</t>
        </r>
      </text>
    </comment>
    <comment ref="E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Sub_Minutes}} : BIW Sub_Minutes NAMED RANGE: Line Stop_Prod Loss_B23_O23.</t>
        </r>
      </text>
    </comment>
    <comment ref="F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Main_Minutes}} : BIW Main_Minutes NAMED RANGE: Line Stop_Prod Loss_B23_O23.</t>
        </r>
      </text>
    </comment>
    <comment ref="G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{{Micky_Minutes}} : Micky_Minutes NAMED RANGE: Line Stop_Prod Loss_B23_O23.</t>
        </r>
      </text>
    </comment>
    <comment ref="H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{{D+6_Minutes}} : D+6_Minutes NAMED RANGE: Line Stop_Prod Loss_B23_O23.</t>
        </r>
      </text>
    </comment>
    <comment ref="I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{{Total_Minutes}} : Total_Minutes NAMED RANGE: Line Stop_Prod Loss_B23_O23.</t>
        </r>
      </text>
    </comment>
    <comment ref="J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Sub_TopReason1}} : I-Puma Sub_TopReason1 NAMED RANGE: Line Stop_Prod Loss_B23_O23.</t>
        </r>
      </text>
    </comment>
    <comment ref="K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{{I-Puma Main_TopReason1}} : I-Puma Main_TopReason1 NAMED RANGE: Line Stop_Prod Loss_B23_O23.</t>
        </r>
      </text>
    </comment>
    <comment ref="L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Sub_TopReason1}} : BIW Sub_TopReason1 NAMED RANGE: Line Stop_Prod Loss_B23_O23.</t>
        </r>
      </text>
    </comment>
    <comment ref="M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{{BIW Main_TopReason1}} : BIW Main_TopReason1 NAMED RANGE: Line Stop_Prod Loss_B23_O23.</t>
        </r>
      </text>
    </comment>
    <comment ref="N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{{Micky_TopReason1}} : Micky_TopReason1 NAMED RANGE: Line Stop_Prod Loss_B23_O23.</t>
        </r>
      </text>
    </comment>
    <comment ref="O2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{{D+6_TopReason1}} : D+6_TopReason1 NAMED RANGE: Line Stop_Prod Loss_B23_O23.</t>
        </r>
      </text>
    </comment>
    <comment ref="B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{{Shift}} : Shift.
NAMED RANGE: Line Stop_Prod Loss_B43_M43.</t>
        </r>
      </text>
    </comment>
    <comment ref="C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{{ShiftStart}} : ShiftStart.
NAMED RANGE: Line Stop_Prod Loss_B43_M43.</t>
        </r>
      </text>
    </comment>
    <comment ref="D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{{ShiftEnd}} : ShiftEnd.
NAMED RANGE: Line Stop_Prod Loss_B43_M43.</t>
        </r>
      </text>
    </comment>
    <comment ref="E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{{ProdCount}} : ProdCount.
NAMED RANGE: Line Stop_Prod Loss_B43_M43.</t>
        </r>
      </text>
    </comment>
    <comment ref="F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{{ProdLoss}} : ProdLoss.
NAMED RANGE: Line Stop_Prod Loss_B43_M43.</t>
        </r>
      </text>
    </comment>
    <comment ref="G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{{ShiftTime}} : ShiftTime.
NAMED RANGE: Line Stop_Prod Loss_B43_M43.</t>
        </r>
      </text>
    </comment>
    <comment ref="H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{{BreakTime}} : BreakTime.
NAMED RANGE: Line Stop_Prod Loss_B43_M43.</t>
        </r>
      </text>
    </comment>
    <comment ref="I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{{LinePause}} : LinePause.
NAMED RANGE: Line Stop_Prod Loss_B43_M43.</t>
        </r>
      </text>
    </comment>
    <comment ref="J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{{DownTime}} : DownTime.
NAMED RANGE: Line Stop_Prod Loss_B43_M43.</t>
        </r>
      </text>
    </comment>
    <comment ref="K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{{ShiftWorkingTime}} : ShiftWorkingTime.
NAMED RANGE: Line Stop_Prod Loss_B43_M43.</t>
        </r>
      </text>
    </comment>
    <comment ref="L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{{OEE}} : OEE.
NAMED RANGE: Line Stop_Prod Loss_B43_M43.</t>
        </r>
      </text>
    </comment>
    <comment ref="M43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{{DT}} : DT.
NAMED RANGE: Line Stop_Prod Loss_B43_M43.</t>
        </r>
      </text>
    </comment>
    <comment ref="B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{{Shift}} : Shift NAMED RANGE: Line Stop_Prod Loss_B43_M43.</t>
        </r>
      </text>
    </comment>
    <comment ref="C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{{ShiftStart}} : ShiftStart NAMED RANGE: Line Stop_Prod Loss_B43_M43.</t>
        </r>
      </text>
    </comment>
    <comment ref="D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{{ShiftEnd}} : ShiftEnd NAMED RANGE: Line Stop_Prod Loss_B43_M43.</t>
        </r>
      </text>
    </comment>
    <comment ref="E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{{ProdCount}} : ProdCount NAMED RANGE: Line Stop_Prod Loss_B43_M43.</t>
        </r>
      </text>
    </comment>
    <comment ref="F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{{ProdLoss}} : ProdLoss NAMED RANGE: Line Stop_Prod Loss_B43_M43.</t>
        </r>
      </text>
    </comment>
    <comment ref="G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{{ShiftTime}} : ShiftTime NAMED RANGE: Line Stop_Prod Loss_B43_M43.</t>
        </r>
      </text>
    </comment>
    <comment ref="H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{{BreakTime}} : BreakTime NAMED RANGE: Line Stop_Prod Loss_B43_M43.</t>
        </r>
      </text>
    </comment>
    <comment ref="I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{{LinePause}} : LinePause NAMED RANGE: Line Stop_Prod Loss_B43_M43.</t>
        </r>
      </text>
    </comment>
    <comment ref="J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{{DownTime}} : DownTime NAMED RANGE: Line Stop_Prod Loss_B43_M43.</t>
        </r>
      </text>
    </comment>
    <comment ref="K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{{ShiftWorkingTime}} : ShiftWorkingTime NAMED RANGE: Line Stop_Prod Loss_B43_M43.</t>
        </r>
      </text>
    </comment>
    <comment ref="L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{{OEE}} : OEE NAMED RANGE: Line Stop_Prod Loss_B43_M43.</t>
        </r>
      </text>
    </comment>
    <comment ref="M44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{{DT}} : DT NAMED RANGE: Line Stop_Prod Loss_B43_M43.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{{Comment}} : Comment.
NAMED RANGE: Weely_C2_M2.</t>
        </r>
      </text>
    </comment>
    <comment ref="D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{{Week1_Target}} : Week1_Target.
NAMED RANGE: Weely_C2_M2.</t>
        </r>
      </text>
    </comment>
    <comment ref="E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{{Week1_Actual}} : Week1_Actual.
NAMED RANGE: Weely_C2_M2.</t>
        </r>
      </text>
    </comment>
    <comment ref="F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{{Week2_Target}} : Week2_Target.
NAMED RANGE: Weely_C2_M2.</t>
        </r>
      </text>
    </comment>
    <comment ref="G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{{Week2_Actual}} : Week2_Actual.
NAMED RANGE: Weely_C2_M2.</t>
        </r>
      </text>
    </comment>
    <comment ref="H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{{Week3_Target}} : Week3_Target.
NAMED RANGE: Weely_C2_M2.</t>
        </r>
      </text>
    </comment>
    <comment ref="I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{{Week3_Actual}} : Week3_Actual.
NAMED RANGE: Weely_C2_M2.</t>
        </r>
      </text>
    </comment>
    <comment ref="J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{{Week4_Target}} : Week4_Target.
NAMED RANGE: Weely_C2_M2.</t>
        </r>
      </text>
    </comment>
    <comment ref="K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{{Week4_Actual}} : Week4_Actual.
NAMED RANGE: Weely_C2_M2.</t>
        </r>
      </text>
    </comment>
    <comment ref="L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{{Week5_Target}} : Week5_Target.
NAMED RANGE: Weely_C2_M2.</t>
        </r>
      </text>
    </comment>
    <comment ref="M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{{Week5_Actual}} : Week5_Actual.
NAMED RANGE: Weely_C2_M2.</t>
        </r>
      </text>
    </comment>
    <comment ref="C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{{Comment}} : Comment NAMED RANGE: Weely_C2_M2.</t>
        </r>
      </text>
    </comment>
    <comment ref="D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{{Week1_Target}} : Week1_Target NAMED RANGE: Weely_C2_M2.</t>
        </r>
      </text>
    </comment>
    <comment ref="E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{{Week1_Actual}} : Week1_Actual NAMED RANGE: Weely_C2_M2.</t>
        </r>
      </text>
    </comment>
    <comment ref="F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{{Week2_Target}} : Week2_Target NAMED RANGE: Weely_C2_M2.</t>
        </r>
      </text>
    </comment>
    <comment ref="G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{{Week2_Actual}} : Week2_Actual NAMED RANGE: Weely_C2_M2.</t>
        </r>
      </text>
    </comment>
    <comment ref="H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{{Week3_Target}} : Week3_Target NAMED RANGE: Weely_C2_M2.</t>
        </r>
      </text>
    </comment>
    <comment ref="I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{{Week3_Actual}} : Week3_Actual NAMED RANGE: Weely_C2_M2.</t>
        </r>
      </text>
    </comment>
    <comment ref="J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{{Week4_Target}} : Week4_Target NAMED RANGE: Weely_C2_M2.</t>
        </r>
      </text>
    </comment>
    <comment ref="K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{{Week4_Actual}} : Week4_Actual NAMED RANGE: Weely_C2_M2.</t>
        </r>
      </text>
    </comment>
    <comment ref="L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{{Week5_Target}} : Week5_Target NAMED RANGE: Weely_C2_M2.</t>
        </r>
      </text>
    </comment>
    <comment ref="M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{{Week5_Actual}} : Week5_Actual NAMED RANGE: Weely_C2_M2.</t>
        </r>
      </text>
    </comment>
    <comment ref="C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{{Comment}} : Comment.
NAMED RANGE: Weely_C11_M11.</t>
        </r>
      </text>
    </comment>
    <comment ref="D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{{Week1_Target}} : Week1_Target.
NAMED RANGE: Weely_C11_M11.</t>
        </r>
      </text>
    </comment>
    <comment ref="E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{{Week1_Actual}} : Week1_Actual.
NAMED RANGE: Weely_C11_M11.</t>
        </r>
      </text>
    </comment>
    <comment ref="F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{{Week2_Target}} : Week2_Target.
NAMED RANGE: Weely_C11_M11.</t>
        </r>
      </text>
    </comment>
    <comment ref="G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{{Week2_Actual}} : Week2_Actual.
NAMED RANGE: Weely_C11_M11.</t>
        </r>
      </text>
    </comment>
    <comment ref="H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{{Week3_Target}} : Week3_Target.
NAMED RANGE: Weely_C11_M11.</t>
        </r>
      </text>
    </comment>
    <comment ref="I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{{Week3_Actual}} : Week3_Actual.
NAMED RANGE: Weely_C11_M11.</t>
        </r>
      </text>
    </comment>
    <comment ref="J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{{Week4_Target}} : Week4_Target.
NAMED RANGE: Weely_C11_M11.</t>
        </r>
      </text>
    </comment>
    <comment ref="K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{{Week4_Actual}} : Week4_Actual.
NAMED RANGE: Weely_C11_M11.</t>
        </r>
      </text>
    </comment>
    <comment ref="L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{{Week5_Target}} : Week5_Target.
NAMED RANGE: Weely_C11_M11.</t>
        </r>
      </text>
    </comment>
    <comment ref="M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{{Week5_Actual}} : Week5_Actual.
NAMED RANGE: Weely_C11_M11.</t>
        </r>
      </text>
    </comment>
    <comment ref="C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{{Comment}} : Comment NAMED RANGE: Weely_C11_M11.</t>
        </r>
      </text>
    </comment>
    <comment ref="D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{{Week1_Target}} : Week1_Target NAMED RANGE: Weely_C11_M11.</t>
        </r>
      </text>
    </comment>
    <comment ref="E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{{Week1_Actual}} : Week1_Actual NAMED RANGE: Weely_C11_M11.</t>
        </r>
      </text>
    </comment>
    <comment ref="F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{{Week2_Target}} : Week2_Target NAMED RANGE: Weely_C11_M11.</t>
        </r>
      </text>
    </comment>
    <comment ref="G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{{Week2_Actual}} : Week2_Actual NAMED RANGE: Weely_C11_M11.</t>
        </r>
      </text>
    </comment>
    <comment ref="H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{{Week3_Target}} : Week3_Target NAMED RANGE: Weely_C11_M11.</t>
        </r>
      </text>
    </comment>
    <comment ref="I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{{Week3_Actual}} : Week3_Actual NAMED RANGE: Weely_C11_M11.</t>
        </r>
      </text>
    </comment>
    <comment ref="J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{{Week4_Target}} : Week4_Target NAMED RANGE: Weely_C11_M11.</t>
        </r>
      </text>
    </comment>
    <comment ref="K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{{Week4_Actual}} : Week4_Actual NAMED RANGE: Weely_C11_M11.</t>
        </r>
      </text>
    </comment>
    <comment ref="L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{{Week5_Target}} : Week5_Target NAMED RANGE: Weely_C11_M11.</t>
        </r>
      </text>
    </comment>
    <comment ref="M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{{Week5_Actual}} : Week5_Actual NAMED RANGE: Weely_C11_M11.</t>
        </r>
      </text>
    </comment>
    <comment ref="C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{{Comment}} : Comment.
NAMED RANGE: Weely_C21_M21.</t>
        </r>
      </text>
    </comment>
    <comment ref="D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{{Week1_Target}} : Week1_Target.
NAMED RANGE: Weely_C21_M21.</t>
        </r>
      </text>
    </comment>
    <comment ref="E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{{Week1_Actual}} : Week1_Actual.
NAMED RANGE: Weely_C21_M21.</t>
        </r>
      </text>
    </comment>
    <comment ref="F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{{Week2_Target}} : Week2_Target.
NAMED RANGE: Weely_C21_M21.</t>
        </r>
      </text>
    </comment>
    <comment ref="G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{{Week2_Actual}} : Week2_Actual.
NAMED RANGE: Weely_C21_M21.</t>
        </r>
      </text>
    </comment>
    <comment ref="H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{{Week3_Target}} : Week3_Target.
NAMED RANGE: Weely_C21_M21.</t>
        </r>
      </text>
    </comment>
    <comment ref="I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{{Week3_Actual}} : Week3_Actual.
NAMED RANGE: Weely_C21_M21.</t>
        </r>
      </text>
    </comment>
    <comment ref="J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{{Week4_Target}} : Week4_Target.
NAMED RANGE: Weely_C21_M21.</t>
        </r>
      </text>
    </comment>
    <comment ref="K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{{Week4_Actual}} : Week4_Actual.
NAMED RANGE: Weely_C21_M21.</t>
        </r>
      </text>
    </comment>
    <comment ref="L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{{Week5_Target}} : Week5_Target.
NAMED RANGE: Weely_C21_M21.</t>
        </r>
      </text>
    </comment>
    <comment ref="M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{{Week5_Actual}} : Week5_Actual.
NAMED RANGE: Weely_C21_M21.</t>
        </r>
      </text>
    </comment>
    <comment ref="C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{{Comment}} : Comment NAMED RANGE: Weely_C21_M21.</t>
        </r>
      </text>
    </comment>
    <comment ref="D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{{Week1_Target}} : Week1_Target NAMED RANGE: Weely_C21_M21.</t>
        </r>
      </text>
    </comment>
    <comment ref="E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{{Week1_Actual}} : Week1_Actual NAMED RANGE: Weely_C21_M21.</t>
        </r>
      </text>
    </comment>
    <comment ref="F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{{Week2_Target}} : Week2_Target NAMED RANGE: Weely_C21_M21.</t>
        </r>
      </text>
    </comment>
    <comment ref="G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{{Week2_Actual}} : Week2_Actual NAMED RANGE: Weely_C21_M21.</t>
        </r>
      </text>
    </comment>
    <comment ref="H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{{Week3_Target}} : Week3_Target NAMED RANGE: Weely_C21_M21.</t>
        </r>
      </text>
    </comment>
    <comment ref="I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{{Week3_Actual}} : Week3_Actual NAMED RANGE: Weely_C21_M21.</t>
        </r>
      </text>
    </comment>
    <comment ref="J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{{Week4_Target}} : Week4_Target NAMED RANGE: Weely_C21_M21.</t>
        </r>
      </text>
    </comment>
    <comment ref="K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{{Week4_Actual}} : Week4_Actual NAMED RANGE: Weely_C21_M21.</t>
        </r>
      </text>
    </comment>
    <comment ref="L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{{Week5_Target}} : Week5_Target NAMED RANGE: Weely_C21_M21.</t>
        </r>
      </text>
    </comment>
    <comment ref="M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{{Week5_Actual}} : Week5_Actual NAMED RANGE: Weely_C21_M21.</t>
        </r>
      </text>
    </comment>
    <comment ref="C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{{Comment}} : Comment.
NAMED RANGE: Weely_C31_M31.</t>
        </r>
      </text>
    </comment>
    <comment ref="D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{{Week1_Target}} : Week1_Target.
NAMED RANGE: Weely_C31_M31.</t>
        </r>
      </text>
    </comment>
    <comment ref="E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{{Week1_Actual}} : Week1_Actual.
NAMED RANGE: Weely_C31_M31.</t>
        </r>
      </text>
    </comment>
    <comment ref="F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{{Week2_Target}} : Week2_Target.
NAMED RANGE: Weely_C31_M31.</t>
        </r>
      </text>
    </comment>
    <comment ref="G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{{Week2_Actual}} : Week2_Actual.
NAMED RANGE: Weely_C31_M31.</t>
        </r>
      </text>
    </comment>
    <comment ref="H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{{Week3_Target}} : Week3_Target.
NAMED RANGE: Weely_C31_M31.</t>
        </r>
      </text>
    </comment>
    <comment ref="I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{{Week3_Actual}} : Week3_Actual.
NAMED RANGE: Weely_C31_M31.</t>
        </r>
      </text>
    </comment>
    <comment ref="J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{{Week4_Target}} : Week4_Target.
NAMED RANGE: Weely_C31_M31.</t>
        </r>
      </text>
    </comment>
    <comment ref="K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{{Week4_Actual}} : Week4_Actual.
NAMED RANGE: Weely_C31_M31.</t>
        </r>
      </text>
    </comment>
    <comment ref="L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{{Week5_Target}} : Week5_Target.
NAMED RANGE: Weely_C31_M31.</t>
        </r>
      </text>
    </comment>
    <comment ref="M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{{Week5_Actual}} : Week5_Actual.
NAMED RANGE: Weely_C31_M31.</t>
        </r>
      </text>
    </comment>
    <comment ref="C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{{Comment}} : Comment NAMED RANGE: Weely_C31_M31.</t>
        </r>
      </text>
    </comment>
    <comment ref="D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{{Week1_Target}} : Week1_Target NAMED RANGE: Weely_C31_M31.</t>
        </r>
      </text>
    </comment>
    <comment ref="E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{{Week1_Actual}} : Week1_Actual NAMED RANGE: Weely_C31_M31.</t>
        </r>
      </text>
    </comment>
    <comment ref="F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{{Week2_Target}} : Week2_Target NAMED RANGE: Weely_C31_M31.</t>
        </r>
      </text>
    </comment>
    <comment ref="G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{{Week2_Actual}} : Week2_Actual NAMED RANGE: Weely_C31_M31.</t>
        </r>
      </text>
    </comment>
    <comment ref="H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{{Week3_Target}} : Week3_Target NAMED RANGE: Weely_C31_M31.</t>
        </r>
      </text>
    </comment>
    <comment ref="I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{{Week3_Actual}} : Week3_Actual NAMED RANGE: Weely_C31_M31.</t>
        </r>
      </text>
    </comment>
    <comment ref="J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{{Week4_Target}} : Week4_Target NAMED RANGE: Weely_C31_M31.</t>
        </r>
      </text>
    </comment>
    <comment ref="K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{{Week4_Actual}} : Week4_Actual NAMED RANGE: Weely_C31_M31.</t>
        </r>
      </text>
    </comment>
    <comment ref="L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{{Week5_Target}} : Week5_Target NAMED RANGE: Weely_C31_M31.</t>
        </r>
      </text>
    </comment>
    <comment ref="M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{{Week5_Actual}} : Week5_Actual NAMED RANGE: Weely_C31_M31.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{{Month}} : Month.
NAMED RANGE: Monthly_C2_F2.</t>
        </r>
      </text>
    </comment>
    <comment ref="D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{{MonthlyTarget}} : MonthlyTarget.
NAMED RANGE: Monthly_C2_F2.</t>
        </r>
      </text>
    </comment>
    <comment ref="E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Monthly_C2_F2.</t>
        </r>
      </text>
    </comment>
    <comment ref="F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Monthly_C2_F2.</t>
        </r>
      </text>
    </comment>
    <comment ref="C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{{Month}} : Month NAMED RANGE: Monthly_C2_F2.</t>
        </r>
      </text>
    </comment>
    <comment ref="D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{{MonthlyTarget}} : MonthlyTarget NAMED RANGE: Monthly_C2_F2.</t>
        </r>
      </text>
    </comment>
    <comment ref="E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Monthly_C2_F2.</t>
        </r>
      </text>
    </comment>
    <comment ref="F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Monthly_C2_F2.</t>
        </r>
      </text>
    </comment>
    <comment ref="C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{{Month}} : Month.
NAMED RANGE: Monthly_C11_F11.</t>
        </r>
      </text>
    </comment>
    <comment ref="D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{{MonthlyTarget}} : MonthlyTarget.
NAMED RANGE: Monthly_C11_F11.</t>
        </r>
      </text>
    </comment>
    <comment ref="E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Monthly_C11_F11.</t>
        </r>
      </text>
    </comment>
    <comment ref="F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Monthly_C11_F11.</t>
        </r>
      </text>
    </comment>
    <comment ref="C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{{Month}} : Month NAMED RANGE: Monthly_C11_F11.</t>
        </r>
      </text>
    </comment>
    <comment ref="D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{{MonthlyTarget}} : MonthlyTarget NAMED RANGE: Monthly_C11_F11.</t>
        </r>
      </text>
    </comment>
    <comment ref="E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Monthly_C11_F11.</t>
        </r>
      </text>
    </comment>
    <comment ref="F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Monthly_C11_F11.</t>
        </r>
      </text>
    </comment>
    <comment ref="C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{{Month}} : Month.
NAMED RANGE: Monthly_C21_F21.</t>
        </r>
      </text>
    </comment>
    <comment ref="D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{{MonthlyTarget}} : MonthlyTarget.
NAMED RANGE: Monthly_C21_F21.</t>
        </r>
      </text>
    </comment>
    <comment ref="E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Monthly_C21_F21.</t>
        </r>
      </text>
    </comment>
    <comment ref="F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Monthly_C21_F21.</t>
        </r>
      </text>
    </comment>
    <comment ref="C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{{Month}} : Month NAMED RANGE: Monthly_C21_F21.</t>
        </r>
      </text>
    </comment>
    <comment ref="D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{{MonthlyTarget}} : MonthlyTarget NAMED RANGE: Monthly_C21_F21.</t>
        </r>
      </text>
    </comment>
    <comment ref="E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Monthly_C21_F21.</t>
        </r>
      </text>
    </comment>
    <comment ref="F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Monthly_C21_F21.</t>
        </r>
      </text>
    </comment>
    <comment ref="C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{{Month}} : Month.
NAMED RANGE: Monthly_C31_F31.</t>
        </r>
      </text>
    </comment>
    <comment ref="D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{{MonthlyTarget}} : MonthlyTarget.
NAMED RANGE: Monthly_C31_F31.</t>
        </r>
      </text>
    </comment>
    <comment ref="E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Monthly_C31_F31.</t>
        </r>
      </text>
    </comment>
    <comment ref="F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Monthly_C31_F31.</t>
        </r>
      </text>
    </comment>
    <comment ref="C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{{Month}} : Month NAMED RANGE: Monthly_C31_F31.</t>
        </r>
      </text>
    </comment>
    <comment ref="D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{{MonthlyTarget}} : MonthlyTarget NAMED RANGE: Monthly_C31_F31.</t>
        </r>
      </text>
    </comment>
    <comment ref="E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Monthly_C31_F31.</t>
        </r>
      </text>
    </comment>
    <comment ref="F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Monthly_C31_F31.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{{MonthToDate}} : MonthToDate.
NAMED RANGE: MTD_C2_F2.</t>
        </r>
      </text>
    </comment>
    <comment ref="D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{{MTD_Target}} : MTD_Target.
NAMED RANGE: MTD_C2_F2.</t>
        </r>
      </text>
    </comment>
    <comment ref="E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{{MTD_Records}} : MTD_Records.
NAMED RANGE: MTD_C2_F2.</t>
        </r>
      </text>
    </comment>
    <comment ref="F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MTD_C2_F2.</t>
        </r>
      </text>
    </comment>
    <comment ref="C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{{MonthToDate}} : MonthToDate NAMED RANGE: MTD_C2_F2.</t>
        </r>
      </text>
    </comment>
    <comment ref="D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{{MTD_Target}} : MTD_Target NAMED RANGE: MTD_C2_F2.</t>
        </r>
      </text>
    </comment>
    <comment ref="E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{{MTD_Records}} : MTD_Records NAMED RANGE: MTD_C2_F2.</t>
        </r>
      </text>
    </comment>
    <comment ref="F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MTD_C2_F2.</t>
        </r>
      </text>
    </comment>
    <comment ref="C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{{MonthToDate}} : MonthToDate.
NAMED RANGE: MTD_C11_F11.</t>
        </r>
      </text>
    </comment>
    <comment ref="D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{{MTD_Target}} : MTD_Target.
NAMED RANGE: MTD_C11_F11.</t>
        </r>
      </text>
    </comment>
    <comment ref="E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{{MTD_Records}} : MTD_Records.
NAMED RANGE: MTD_C11_F11.</t>
        </r>
      </text>
    </comment>
    <comment ref="F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MTD_C11_F11.</t>
        </r>
      </text>
    </comment>
    <comment ref="C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{{MonthToDate}} : MonthToDate NAMED RANGE: MTD_C11_F11.</t>
        </r>
      </text>
    </comment>
    <comment ref="D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{{MTD_Target}} : MTD_Target NAMED RANGE: MTD_C11_F11.</t>
        </r>
      </text>
    </comment>
    <comment ref="E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{{MTD_Records}} : MTD_Records NAMED RANGE: MTD_C11_F11.</t>
        </r>
      </text>
    </comment>
    <comment ref="F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MTD_C11_F11.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{{YearToDate}} : YearToDate.
NAMED RANGE: YTD_C2_F2.</t>
        </r>
      </text>
    </comment>
    <comment ref="D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{{YTD_Target}} : YTD_Target.
NAMED RANGE: YTD_C2_F2.</t>
        </r>
      </text>
    </comment>
    <comment ref="E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{{YTD_Records}} : YTD_Records.
NAMED RANGE: YTD_C2_F2.</t>
        </r>
      </text>
    </comment>
    <comment ref="F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YTD_C2_F2.</t>
        </r>
      </text>
    </comment>
    <comment ref="C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{{YearToDate}} : YearToDate NAMED RANGE: YTD_C2_F2.</t>
        </r>
      </text>
    </comment>
    <comment ref="D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{{YTD_Target}} : YTD_Target NAMED RANGE: YTD_C2_F2.</t>
        </r>
      </text>
    </comment>
    <comment ref="E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{{YTD_Records}} : YTD_Records NAMED RANGE: YTD_C2_F2.</t>
        </r>
      </text>
    </comment>
    <comment ref="F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YTD_C2_F2.</t>
        </r>
      </text>
    </comment>
    <comment ref="C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{{YearToDate}} : YearToDate.
NAMED RANGE: YTD_C11_F11.</t>
        </r>
      </text>
    </comment>
    <comment ref="D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{{YTD_Target}} : YTD_Target.
NAMED RANGE: YTD_C11_F11.</t>
        </r>
      </text>
    </comment>
    <comment ref="E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{{YTD_Records}} : YTD_Records.
NAMED RANGE: YTD_C11_F11.</t>
        </r>
      </text>
    </comment>
    <comment ref="F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YTD_C11_F11.</t>
        </r>
      </text>
    </comment>
    <comment ref="C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{{YearToDate}} : YearToDate NAMED RANGE: YTD_C11_F11.</t>
        </r>
      </text>
    </comment>
    <comment ref="D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{{YTD_Target}} : YTD_Target NAMED RANGE: YTD_C11_F11.</t>
        </r>
      </text>
    </comment>
    <comment ref="E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{{YTD_Records}} : YTD_Records NAMED RANGE: YTD_C11_F11.</t>
        </r>
      </text>
    </comment>
    <comment ref="F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YTD_C11_F11.</t>
        </r>
      </text>
    </comment>
    <comment ref="C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{{YearToDate}} : YearToDate.
NAMED RANGE: YTD_C21_F21.</t>
        </r>
      </text>
    </comment>
    <comment ref="D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{{YTD_Target}} : YTD_Target.
NAMED RANGE: YTD_C21_F21.</t>
        </r>
      </text>
    </comment>
    <comment ref="E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{{YTD_Records}} : YTD_Records.
NAMED RANGE: YTD_C21_F21.</t>
        </r>
      </text>
    </comment>
    <comment ref="F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YTD_C21_F21.</t>
        </r>
      </text>
    </comment>
    <comment ref="C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{{YearToDate}} : YearToDate NAMED RANGE: YTD_C21_F21.</t>
        </r>
      </text>
    </comment>
    <comment ref="D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{{YTD_Target}} : YTD_Target NAMED RANGE: YTD_C21_F21.</t>
        </r>
      </text>
    </comment>
    <comment ref="E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{{YTD_Records}} : YTD_Records NAMED RANGE: YTD_C21_F21.</t>
        </r>
      </text>
    </comment>
    <comment ref="F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YTD_C21_F21.</t>
        </r>
      </text>
    </comment>
    <comment ref="C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{{YearToDate}} : YearToDate.
NAMED RANGE: YTD_C31_F31.</t>
        </r>
      </text>
    </comment>
    <comment ref="D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{{YTD_Target}} : YTD_Target.
NAMED RANGE: YTD_C31_F31.</t>
        </r>
      </text>
    </comment>
    <comment ref="E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{{YTD_Records}} : YTD_Records.
NAMED RANGE: YTD_C31_F31.</t>
        </r>
      </text>
    </comment>
    <comment ref="F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YTD_C31_F31.</t>
        </r>
      </text>
    </comment>
    <comment ref="C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{{YearToDate}} : YearToDate NAMED RANGE: YTD_C31_F31.</t>
        </r>
      </text>
    </comment>
    <comment ref="D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{{YTD_Target}} : YTD_Target NAMED RANGE: YTD_C31_F31.</t>
        </r>
      </text>
    </comment>
    <comment ref="E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{{YTD_Records}} : YTD_Records NAMED RANGE: YTD_C31_F31.</t>
        </r>
      </text>
    </comment>
    <comment ref="F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YTD_C31_F31.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{{FinancialYear}} : FinancialYear.
NAMED RANGE: PrevFY_C2_F2.</t>
        </r>
      </text>
    </comment>
    <comment ref="D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{{TotalTarget}} : TotalTarget.
NAMED RANGE: PrevFY_C2_F2.</t>
        </r>
      </text>
    </comment>
    <comment ref="E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PrevFY_C2_F2.</t>
        </r>
      </text>
    </comment>
    <comment ref="F2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PrevFY_C2_F2.</t>
        </r>
      </text>
    </comment>
    <comment ref="C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{{FinancialYear}} : FinancialYear NAMED RANGE: PrevFY_C2_F2.</t>
        </r>
      </text>
    </comment>
    <comment ref="D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{{TotalTarget}} : TotalTarget NAMED RANGE: PrevFY_C2_F2.</t>
        </r>
      </text>
    </comment>
    <comment ref="E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PrevFY_C2_F2.</t>
        </r>
      </text>
    </comment>
    <comment ref="F3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PrevFY_C2_F2.</t>
        </r>
      </text>
    </comment>
    <comment ref="C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{{FinancialYear}} : FinancialYear.
NAMED RANGE: PrevFY_C11_F11.</t>
        </r>
      </text>
    </comment>
    <comment ref="D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{{TotalTarget}} : TotalTarget.
NAMED RANGE: PrevFY_C11_F11.</t>
        </r>
      </text>
    </comment>
    <comment ref="E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PrevFY_C11_F11.</t>
        </r>
      </text>
    </comment>
    <comment ref="F1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PrevFY_C11_F11.</t>
        </r>
      </text>
    </comment>
    <comment ref="C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{{FinancialYear}} : FinancialYear NAMED RANGE: PrevFY_C11_F11.</t>
        </r>
      </text>
    </comment>
    <comment ref="D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{{TotalTarget}} : TotalTarget NAMED RANGE: PrevFY_C11_F11.</t>
        </r>
      </text>
    </comment>
    <comment ref="E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PrevFY_C11_F11.</t>
        </r>
      </text>
    </comment>
    <comment ref="F1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PrevFY_C11_F11.</t>
        </r>
      </text>
    </comment>
    <comment ref="C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{{FinancialYear}} : FinancialYear.
NAMED RANGE: PrevFY_C21_F21.</t>
        </r>
      </text>
    </comment>
    <comment ref="D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{{TotalTarget}} : TotalTarget.
NAMED RANGE: PrevFY_C21_F21.</t>
        </r>
      </text>
    </comment>
    <comment ref="E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PrevFY_C21_F21.</t>
        </r>
      </text>
    </comment>
    <comment ref="F2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PrevFY_C21_F21.</t>
        </r>
      </text>
    </comment>
    <comment ref="C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{{FinancialYear}} : FinancialYear NAMED RANGE: PrevFY_C21_F21.</t>
        </r>
      </text>
    </comment>
    <comment ref="D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{{TotalTarget}} : TotalTarget NAMED RANGE: PrevFY_C21_F21.</t>
        </r>
      </text>
    </comment>
    <comment ref="E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PrevFY_C21_F21.</t>
        </r>
      </text>
    </comment>
    <comment ref="F2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PrevFY_C21_F21.</t>
        </r>
      </text>
    </comment>
    <comment ref="C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{{FinancialYear}} : FinancialYear.
NAMED RANGE: PrevFY_C31_F31.</t>
        </r>
      </text>
    </comment>
    <comment ref="D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{{TotalTarget}} : TotalTarget.
NAMED RANGE: PrevFY_C31_F31.</t>
        </r>
      </text>
    </comment>
    <comment ref="E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{{TotalRecords}} : TotalRecords.
NAMED RANGE: PrevFY_C31_F31.</t>
        </r>
      </text>
    </comment>
    <comment ref="F31" authorId="0" shapeId="0">
      <text>
        <r>
          <rPr>
            <sz val="11"/>
            <color theme="1"/>
            <rFont val="Calibri"/>
            <charset val="134"/>
            <scheme val="minor"/>
          </rPr>
          <t>[HEADER] REAL TIME DATA MAPPING.
COLUMN {{Difference}} : Difference.
NAMED RANGE: PrevFY_C31_F31.</t>
        </r>
      </text>
    </comment>
    <comment ref="C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{{FinancialYear}} : FinancialYear NAMED RANGE: PrevFY_C31_F31.</t>
        </r>
      </text>
    </comment>
    <comment ref="D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{{TotalTarget}} : TotalTarget NAMED RANGE: PrevFY_C31_F31.</t>
        </r>
      </text>
    </comment>
    <comment ref="E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{{TotalRecords}} : TotalRecords NAMED RANGE: PrevFY_C31_F31.</t>
        </r>
      </text>
    </comment>
    <comment ref="F32" authorId="0" shapeId="0">
      <text>
        <r>
          <rPr>
            <sz val="11"/>
            <color theme="1"/>
            <rFont val="Calibri"/>
            <charset val="134"/>
            <scheme val="minor"/>
          </rPr>
          <t>[FIRST ROW] REAL TIME DATA MAPPING. COLUMN: {{Difference}} : Difference NAMED RANGE: PrevFY_C31_F31.</t>
        </r>
      </text>
    </comment>
  </commentList>
</comments>
</file>

<file path=xl/sharedStrings.xml><?xml version="1.0" encoding="utf-8"?>
<sst xmlns="http://schemas.openxmlformats.org/spreadsheetml/2006/main" count="240" uniqueCount="83">
  <si>
    <t>Month</t>
  </si>
  <si>
    <t>Jun 2026</t>
  </si>
  <si>
    <t>Date</t>
  </si>
  <si>
    <t>09-06-2026</t>
  </si>
  <si>
    <t>Time</t>
  </si>
  <si>
    <t>Plan</t>
  </si>
  <si>
    <t>Saarthi D+6</t>
  </si>
  <si>
    <t>Micky D+3</t>
  </si>
  <si>
    <t>Cargo</t>
  </si>
  <si>
    <t>Total</t>
  </si>
  <si>
    <t>Remark</t>
  </si>
  <si>
    <t>Process Call</t>
  </si>
  <si>
    <t>Standard Work Problem</t>
  </si>
  <si>
    <t>Material Call</t>
  </si>
  <si>
    <t>Material Shortage</t>
  </si>
  <si>
    <t>Quality Call</t>
  </si>
  <si>
    <t>Maintenance Call</t>
  </si>
  <si>
    <t>Water Flow Issue</t>
  </si>
  <si>
    <t>Other</t>
  </si>
  <si>
    <t>M_TCF</t>
  </si>
  <si>
    <t>{{Date}} : Date</t>
  </si>
  <si>
    <t>{{TargetCount}} : TargetCount</t>
  </si>
  <si>
    <t>{{ActualCount}} : ActualCount</t>
  </si>
  <si>
    <t>{{Difference}} : Difference</t>
  </si>
  <si>
    <t>{{total_working_days}} : total_working_days</t>
  </si>
  <si>
    <t>{{working_days_left}} : working_days_left</t>
  </si>
  <si>
    <t>S_TCF</t>
  </si>
  <si>
    <t>M_BIW</t>
  </si>
  <si>
    <t>S_BIW</t>
  </si>
  <si>
    <t>Line Stop Daily</t>
  </si>
  <si>
    <t>{{TypeOfCallText}} : TypeOfCallText</t>
  </si>
  <si>
    <t>{{I-Puma Sub_Minutes}} : I-Puma Sub_Minutes</t>
  </si>
  <si>
    <t>{{I-Puma Main_Minutes}} : I-Puma Main_Minutes</t>
  </si>
  <si>
    <t>{{BIW Sub_Minutes}} : BIW Sub_Minutes</t>
  </si>
  <si>
    <t>{{BIW Main_Minutes}} : BIW Main_Minutes</t>
  </si>
  <si>
    <t>{{Micky_Minutes}} : Micky_Minutes</t>
  </si>
  <si>
    <t>{{D+6_Minutes}} : D+6_Minutes</t>
  </si>
  <si>
    <t>{{Total_Minutes}} : Total_Minutes</t>
  </si>
  <si>
    <t>{{I-Puma Sub_TopReason1}} : I-Puma Sub_TopReason1</t>
  </si>
  <si>
    <t>{{I-Puma Main_TopReason1}} : I-Puma Main_TopReason1</t>
  </si>
  <si>
    <t>{{BIW Sub_TopReason1}} : BIW Sub_TopReason1</t>
  </si>
  <si>
    <t>{{BIW Main_TopReason1}} : BIW Main_TopReason1</t>
  </si>
  <si>
    <t>{{Micky_TopReason1}} : Micky_TopReason1</t>
  </si>
  <si>
    <t>{{D+6_TopReason1}} : D+6_TopReason1</t>
  </si>
  <si>
    <t>Line Stop Monthly</t>
  </si>
  <si>
    <t>Information/Instruction Needed</t>
  </si>
  <si>
    <t>Work Imbalance</t>
  </si>
  <si>
    <t>Defect Created</t>
  </si>
  <si>
    <t>Part Issue</t>
  </si>
  <si>
    <t>Spare1</t>
  </si>
  <si>
    <t>Air Pressure Drop</t>
  </si>
  <si>
    <t>Prodction Loss</t>
  </si>
  <si>
    <t>{{Comment}} : Comment</t>
  </si>
  <si>
    <t>{{Week1_Target}} : Week1_Target</t>
  </si>
  <si>
    <t>{{Week1_Actual}} : Week1_Actual</t>
  </si>
  <si>
    <t>{{Week2_Target}} : Week2_Target</t>
  </si>
  <si>
    <t>{{Week2_Actual}} : Week2_Actual</t>
  </si>
  <si>
    <t>{{Week3_Target}} : Week3_Target</t>
  </si>
  <si>
    <t>{{Week3_Actual}} : Week3_Actual</t>
  </si>
  <si>
    <t>{{Week4_Target}} : Week4_Target</t>
  </si>
  <si>
    <t>{{Week4_Actual}} : Week4_Actual</t>
  </si>
  <si>
    <t>{{Week5_Target}} : Week5_Target</t>
  </si>
  <si>
    <t>{{Week5_Actual}} : Week5_Actual</t>
  </si>
  <si>
    <t>{{Month}} : Month</t>
  </si>
  <si>
    <t>{{MonthlyTarget}} : MonthlyTarget</t>
  </si>
  <si>
    <t>{{TotalRecords}} : TotalRecords</t>
  </si>
  <si>
    <t>{{MonthToDate}} : MonthToDate</t>
  </si>
  <si>
    <t>{{MTD_Target}} : MTD_Target</t>
  </si>
  <si>
    <t>{{MTD_Records}} : MTD_Records</t>
  </si>
  <si>
    <t>{{YearToDate}} : YearToDate</t>
  </si>
  <si>
    <t>{{YTD_Target}} : YTD_Target</t>
  </si>
  <si>
    <t>{{YTD_Records}} : YTD_Records</t>
  </si>
  <si>
    <t xml:space="preserve">Micky </t>
  </si>
  <si>
    <t xml:space="preserve">D+6 </t>
  </si>
  <si>
    <t>{{FinancialYear}} : FinancialYear</t>
  </si>
  <si>
    <t>{{TotalTarget}} : TotalTarget</t>
  </si>
  <si>
    <t xml:space="preserve">FY </t>
  </si>
  <si>
    <t>25-26</t>
  </si>
  <si>
    <t>Actual</t>
  </si>
  <si>
    <t>Puma</t>
  </si>
  <si>
    <t>Line Graph</t>
  </si>
  <si>
    <t>Bar Graph</t>
  </si>
  <si>
    <t>DAILY PRODUCTION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</si>
</sst>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4" xfId="0" applyBorder="1"/>
    <xf numFmtId="0" fontId="0" fillId="0" borderId="8" xfId="0" applyBorder="1"/>
    <xf numFmtId="0" fontId="0" fillId="0" borderId="0" xfId="0"/>
    <xf numFmtId="49" fontId="0" fillId="0" borderId="5" xfId="0" applyNumberFormat="1" applyFill="1" applyBorder="1" applyAlignment="1">
      <alignment horizontal="center" vertical="center"/>
    </xf>
    <xf numFmtId="0" fontId="0" fillId="0" borderId="2" xfId="0" applyBorder="1"/>
    <xf numFmtId="0" fontId="7" fillId="0" borderId="7" xfId="0" applyFont="1" applyBorder="1" applyAlignment="1"/>
    <xf numFmtId="0" fontId="0" fillId="0" borderId="0" xfId="0" applyBorder="1"/>
    <xf numFmtId="0" fontId="7" fillId="0" borderId="7" xfId="0" applyFont="1" applyFill="1" applyBorder="1" applyAlignment="1">
      <alignment vertical="center"/>
    </xf>
    <xf numFmtId="0" fontId="0" fillId="4" borderId="4" xfId="0" applyFill="1" applyBorder="1"/>
    <xf numFmtId="0" fontId="0" fillId="4" borderId="0" xfId="0" applyFill="1" applyBorder="1"/>
    <xf numFmtId="0" fontId="0" fillId="4" borderId="11" xfId="0" applyFill="1" applyBorder="1"/>
    <xf numFmtId="0" fontId="0" fillId="4" borderId="12" xfId="0" applyFill="1" applyBorder="1"/>
    <xf numFmtId="0" fontId="7" fillId="0" borderId="5" xfId="0" applyFont="1" applyBorder="1" applyAlignment="1">
      <alignment horizontal="center" vertical="center"/>
    </xf>
    <xf numFmtId="0" fontId="0" fillId="3" borderId="0" xfId="0" applyFill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2" fillId="0" borderId="0" xfId="0" applyFont="1" applyBorder="1"/>
    <xf numFmtId="0" fontId="7" fillId="0" borderId="5" xfId="0" applyFont="1" applyBorder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3" borderId="0" xfId="0" applyFont="1" applyFill="1"/>
    <xf numFmtId="0" fontId="7" fillId="0" borderId="7" xfId="0" applyFont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49" fontId="0" fillId="0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49" fontId="5" fillId="3" borderId="14" xfId="0" applyNumberFormat="1" applyFont="1" applyFill="1" applyBorder="1" applyAlignment="1">
      <alignment horizontal="center" vertical="center"/>
    </xf>
    <xf numFmtId="49" fontId="5" fillId="3" borderId="1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8" fontId="0" fillId="0" borderId="5" xfId="0" applyNumberForma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9" fillId="3" borderId="2" xfId="0" applyFont="1" applyFill="1" applyBorder="1"/>
    <xf numFmtId="0" fontId="9" fillId="3" borderId="10" xfId="0" applyFont="1" applyFill="1" applyBorder="1"/>
    <xf numFmtId="0" fontId="2" fillId="0" borderId="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8" fillId="0" borderId="16" xfId="0" applyFont="1" applyBorder="1" applyAlignment="1">
      <alignment horizontal="left" vertical="center"/>
    </xf>
    <xf numFmtId="0" fontId="9" fillId="0" borderId="17" xfId="0" applyFont="1" applyBorder="1"/>
    <xf numFmtId="0" fontId="9" fillId="0" borderId="18" xfId="0" applyFont="1" applyBorder="1"/>
    <xf numFmtId="0" fontId="5" fillId="3" borderId="9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1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22573</xdr:colOff>
      <xdr:row>1</xdr:row>
      <xdr:rowOff>11366</xdr:rowOff>
    </xdr:from>
    <xdr:to>
      <xdr:col>4</xdr:col>
      <xdr:colOff>16838</xdr:colOff>
      <xdr:row>3</xdr:row>
      <xdr:rowOff>179293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000" b="37500"/>
        <a:stretch>
          <a:fillRect/>
        </a:stretch>
      </xdr:blipFill>
      <xdr:spPr>
        <a:xfrm>
          <a:off x="22573" y="213072"/>
          <a:ext cx="1641530" cy="548927"/>
        </a:xfrm>
        <a:prstGeom prst="rect">
          <a:avLst/>
        </a:prstGeom>
      </xdr:spPr>
    </xdr:pic>
    <xdr:clientData/>
  </xdr:twoCellAnchor>
  <xdr:twoCellAnchor editAs="oneCell">
    <xdr:from>
      <xdr:col>30</xdr:col>
      <xdr:colOff>211231</xdr:colOff>
      <xdr:row>2</xdr:row>
      <xdr:rowOff>158484</xdr:rowOff>
    </xdr:from>
    <xdr:to>
      <xdr:col>31</xdr:col>
      <xdr:colOff>331849</xdr:colOff>
      <xdr:row>3</xdr:row>
      <xdr:rowOff>167555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0437" y="550690"/>
          <a:ext cx="468000" cy="199571"/>
        </a:xfrm>
        <a:prstGeom prst="rect">
          <a:avLst/>
        </a:prstGeom>
      </xdr:spPr>
    </xdr:pic>
    <xdr:clientData/>
  </xdr:twoCellAnchor>
  <xdr:twoCellAnchor>
    <xdr:from>
      <xdr:col>27</xdr:col>
      <xdr:colOff>302558</xdr:colOff>
      <xdr:row>2</xdr:row>
      <xdr:rowOff>165681</xdr:rowOff>
    </xdr:from>
    <xdr:to>
      <xdr:col>30</xdr:col>
      <xdr:colOff>196411</xdr:colOff>
      <xdr:row>3</xdr:row>
      <xdr:rowOff>160358</xdr:rowOff>
    </xdr:to>
    <xdr:sp macro="" textlink="">
      <xdr:nvSpPr>
        <xdr:cNvPr id="4" name="TextBox 3"/>
        <xdr:cNvSpPr txBox="1"/>
      </xdr:nvSpPr>
      <xdr:spPr>
        <a:xfrm>
          <a:off x="9939617" y="557887"/>
          <a:ext cx="936000" cy="185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50"/>
            <a:t>Generated By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I56"/>
  <sheetViews>
    <sheetView tabSelected="1" zoomScale="85" zoomScaleNormal="85" workbookViewId="0">
      <selection activeCell="AJ8" sqref="AJ8"/>
    </sheetView>
  </sheetViews>
  <sheetFormatPr defaultRowHeight="15"/>
  <cols>
    <col min="2" max="32" width="5.140625" customWidth="1"/>
  </cols>
  <sheetData>
    <row r="1" spans="1:35" s="21" customFormat="1" ht="15.75" thickBo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spans="1:35" s="14" customFormat="1" ht="15" customHeight="1">
      <c r="A2" s="15"/>
      <c r="B2" s="16"/>
      <c r="C2" s="16"/>
      <c r="D2" s="16"/>
      <c r="E2" s="34" t="s">
        <v>82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5"/>
      <c r="AG2" s="19" t="s">
        <v>0</v>
      </c>
      <c r="AH2" s="27" t="s">
        <v>1</v>
      </c>
      <c r="AI2" s="28"/>
    </row>
    <row r="3" spans="1:35" s="3" customFormat="1" ht="15" customHeight="1">
      <c r="A3" s="1"/>
      <c r="B3" s="7"/>
      <c r="C3" s="7"/>
      <c r="D3" s="7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7"/>
      <c r="AG3" s="20" t="s">
        <v>2</v>
      </c>
      <c r="AH3" s="30" t="s">
        <v>3</v>
      </c>
      <c r="AI3" s="31"/>
    </row>
    <row r="4" spans="1:35" s="3" customFormat="1" ht="15" customHeight="1">
      <c r="A4" s="1"/>
      <c r="B4" s="7"/>
      <c r="C4" s="7"/>
      <c r="D4" s="7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9"/>
      <c r="AG4" s="20" t="s">
        <v>4</v>
      </c>
      <c r="AH4" s="32">
        <v>0.69398981410879634</v>
      </c>
      <c r="AI4" s="33"/>
    </row>
    <row r="5" spans="1:35" ht="15.75" thickBot="1">
      <c r="A5" s="23"/>
      <c r="B5" s="24"/>
      <c r="C5" s="24"/>
      <c r="D5" s="24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</row>
    <row r="6" spans="1:35">
      <c r="A6" s="55" t="s">
        <v>6</v>
      </c>
      <c r="B6" s="56"/>
      <c r="C6" s="56"/>
      <c r="D6" s="5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43" t="s">
        <v>10</v>
      </c>
      <c r="AI6" s="44"/>
    </row>
    <row r="7" spans="1:35">
      <c r="A7" s="22" t="s">
        <v>2</v>
      </c>
      <c r="B7" s="13">
        <v>1</v>
      </c>
      <c r="C7" s="13">
        <v>2</v>
      </c>
      <c r="D7" s="13">
        <v>3</v>
      </c>
      <c r="E7" s="13">
        <v>4</v>
      </c>
      <c r="F7" s="13">
        <v>5</v>
      </c>
      <c r="G7" s="13">
        <v>6</v>
      </c>
      <c r="H7" s="13">
        <v>7</v>
      </c>
      <c r="I7" s="13">
        <v>8</v>
      </c>
      <c r="J7" s="13">
        <v>9</v>
      </c>
      <c r="K7" s="13">
        <v>10</v>
      </c>
      <c r="L7" s="13">
        <v>11</v>
      </c>
      <c r="M7" s="13">
        <v>12</v>
      </c>
      <c r="N7" s="13">
        <v>13</v>
      </c>
      <c r="O7" s="13">
        <v>14</v>
      </c>
      <c r="P7" s="13">
        <v>15</v>
      </c>
      <c r="Q7" s="13">
        <v>16</v>
      </c>
      <c r="R7" s="13">
        <v>17</v>
      </c>
      <c r="S7" s="13">
        <v>18</v>
      </c>
      <c r="T7" s="13">
        <v>19</v>
      </c>
      <c r="U7" s="13">
        <v>20</v>
      </c>
      <c r="V7" s="13">
        <v>21</v>
      </c>
      <c r="W7" s="13">
        <v>22</v>
      </c>
      <c r="X7" s="13">
        <v>23</v>
      </c>
      <c r="Y7" s="13">
        <v>24</v>
      </c>
      <c r="Z7" s="13">
        <v>25</v>
      </c>
      <c r="AA7" s="13">
        <v>26</v>
      </c>
      <c r="AB7" s="13">
        <v>27</v>
      </c>
      <c r="AC7" s="13">
        <v>28</v>
      </c>
      <c r="AD7" s="13">
        <v>29</v>
      </c>
      <c r="AE7" s="13">
        <v>30</v>
      </c>
      <c r="AF7" s="13">
        <v>31</v>
      </c>
      <c r="AG7" s="13" t="s">
        <v>9</v>
      </c>
      <c r="AH7" s="45"/>
      <c r="AI7" s="46"/>
    </row>
    <row r="8" spans="1:35">
      <c r="A8" s="8" t="s">
        <v>5</v>
      </c>
      <c r="B8" s="26">
        <v>10</v>
      </c>
      <c r="C8" s="26">
        <v>10</v>
      </c>
      <c r="D8" s="26">
        <v>10</v>
      </c>
      <c r="E8" s="26"/>
      <c r="F8" s="26"/>
      <c r="G8" s="26">
        <v>10</v>
      </c>
      <c r="H8" s="26">
        <v>10</v>
      </c>
      <c r="I8" s="26">
        <v>10</v>
      </c>
      <c r="J8" s="26">
        <v>12</v>
      </c>
      <c r="K8" s="26">
        <v>12</v>
      </c>
      <c r="L8" s="26">
        <v>10</v>
      </c>
      <c r="M8" s="26"/>
      <c r="N8" s="26">
        <v>10</v>
      </c>
      <c r="O8" s="26">
        <v>10</v>
      </c>
      <c r="P8" s="26">
        <v>10</v>
      </c>
      <c r="Q8" s="26">
        <v>10</v>
      </c>
      <c r="R8" s="26">
        <v>10</v>
      </c>
      <c r="S8" s="26"/>
      <c r="T8" s="26"/>
      <c r="U8" s="26">
        <v>10</v>
      </c>
      <c r="V8" s="26">
        <v>10</v>
      </c>
      <c r="W8" s="26">
        <v>10</v>
      </c>
      <c r="X8" s="26">
        <v>12</v>
      </c>
      <c r="Y8" s="26">
        <v>12</v>
      </c>
      <c r="Z8" s="26">
        <v>12</v>
      </c>
      <c r="AA8" s="26"/>
      <c r="AB8" s="26">
        <v>10</v>
      </c>
      <c r="AC8" s="26">
        <v>10</v>
      </c>
      <c r="AD8" s="26">
        <v>10</v>
      </c>
      <c r="AE8" s="26">
        <v>10</v>
      </c>
      <c r="AF8" s="26">
        <v>10</v>
      </c>
      <c r="AG8" s="26">
        <f>SUM(B8:AF8)</f>
        <v>260</v>
      </c>
      <c r="AH8" s="45"/>
      <c r="AI8" s="46"/>
    </row>
    <row r="9" spans="1:35">
      <c r="A9" s="6" t="s">
        <v>78</v>
      </c>
      <c r="B9" s="4">
        <v>3</v>
      </c>
      <c r="C9" s="4">
        <v>4</v>
      </c>
      <c r="D9" s="4">
        <v>5</v>
      </c>
      <c r="E9" s="26"/>
      <c r="F9" s="26"/>
      <c r="G9" s="4">
        <v>6</v>
      </c>
      <c r="H9" s="4">
        <v>7</v>
      </c>
      <c r="I9" s="4">
        <v>8</v>
      </c>
      <c r="J9" s="4">
        <v>0</v>
      </c>
      <c r="K9" s="4">
        <v>0</v>
      </c>
      <c r="L9" s="4">
        <v>5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>
        <f>SUM(B9:AF9)</f>
        <v>38</v>
      </c>
      <c r="AH9" s="45"/>
      <c r="AI9" s="46"/>
    </row>
    <row r="10" spans="1:35">
      <c r="A10" s="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7" t="s">
        <v>80</v>
      </c>
      <c r="O10" s="7"/>
      <c r="P10" s="7"/>
      <c r="Q10" s="17" t="s">
        <v>81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45"/>
      <c r="AI10" s="46"/>
    </row>
    <row r="11" spans="1:3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45"/>
      <c r="AI11" s="46"/>
    </row>
    <row r="12" spans="1:3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45"/>
      <c r="AI12" s="46"/>
    </row>
    <row r="13" spans="1:3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45"/>
      <c r="AI13" s="46"/>
    </row>
    <row r="14" spans="1:3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45"/>
      <c r="AI14" s="46"/>
    </row>
    <row r="15" spans="1:3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45"/>
      <c r="AI15" s="46"/>
    </row>
    <row r="16" spans="1:3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45"/>
      <c r="AI16" s="46"/>
    </row>
    <row r="17" spans="1:35" ht="15.75" thickBot="1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47"/>
      <c r="AI17" s="48"/>
    </row>
    <row r="18" spans="1:35" ht="15.75" thickBot="1">
      <c r="A18" s="1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/>
    </row>
    <row r="19" spans="1:35">
      <c r="A19" s="49" t="s">
        <v>7</v>
      </c>
      <c r="B19" s="50"/>
      <c r="C19" s="50"/>
      <c r="D19" s="51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43" t="s">
        <v>10</v>
      </c>
      <c r="AI19" s="44"/>
    </row>
    <row r="20" spans="1:35">
      <c r="A20" s="6" t="s">
        <v>2</v>
      </c>
      <c r="B20" s="13">
        <v>1</v>
      </c>
      <c r="C20" s="13">
        <v>2</v>
      </c>
      <c r="D20" s="13">
        <v>3</v>
      </c>
      <c r="E20" s="13">
        <v>4</v>
      </c>
      <c r="F20" s="13">
        <v>5</v>
      </c>
      <c r="G20" s="13">
        <v>6</v>
      </c>
      <c r="H20" s="13">
        <v>7</v>
      </c>
      <c r="I20" s="13">
        <v>8</v>
      </c>
      <c r="J20" s="13">
        <v>9</v>
      </c>
      <c r="K20" s="13">
        <v>10</v>
      </c>
      <c r="L20" s="13">
        <v>11</v>
      </c>
      <c r="M20" s="13">
        <v>12</v>
      </c>
      <c r="N20" s="13">
        <v>13</v>
      </c>
      <c r="O20" s="13">
        <v>14</v>
      </c>
      <c r="P20" s="13">
        <v>15</v>
      </c>
      <c r="Q20" s="13">
        <v>16</v>
      </c>
      <c r="R20" s="13">
        <v>17</v>
      </c>
      <c r="S20" s="13">
        <v>18</v>
      </c>
      <c r="T20" s="13">
        <v>19</v>
      </c>
      <c r="U20" s="13">
        <v>20</v>
      </c>
      <c r="V20" s="13">
        <v>21</v>
      </c>
      <c r="W20" s="13">
        <v>22</v>
      </c>
      <c r="X20" s="13">
        <v>23</v>
      </c>
      <c r="Y20" s="13">
        <v>24</v>
      </c>
      <c r="Z20" s="13">
        <v>25</v>
      </c>
      <c r="AA20" s="13">
        <v>26</v>
      </c>
      <c r="AB20" s="13">
        <v>27</v>
      </c>
      <c r="AC20" s="13">
        <v>28</v>
      </c>
      <c r="AD20" s="13">
        <v>29</v>
      </c>
      <c r="AE20" s="13">
        <v>30</v>
      </c>
      <c r="AF20" s="13">
        <v>31</v>
      </c>
      <c r="AG20" s="13" t="s">
        <v>9</v>
      </c>
      <c r="AH20" s="45"/>
      <c r="AI20" s="46"/>
    </row>
    <row r="21" spans="1:35">
      <c r="A21" s="8" t="s">
        <v>5</v>
      </c>
      <c r="B21" s="26">
        <v>10</v>
      </c>
      <c r="C21" s="26">
        <v>10</v>
      </c>
      <c r="D21" s="26">
        <v>10</v>
      </c>
      <c r="E21" s="26"/>
      <c r="F21" s="26"/>
      <c r="G21" s="26">
        <v>10</v>
      </c>
      <c r="H21" s="26">
        <v>10</v>
      </c>
      <c r="I21" s="26">
        <v>10</v>
      </c>
      <c r="J21" s="26">
        <v>12</v>
      </c>
      <c r="K21" s="26">
        <v>12</v>
      </c>
      <c r="L21" s="26">
        <v>10</v>
      </c>
      <c r="M21" s="26"/>
      <c r="N21" s="26">
        <v>10</v>
      </c>
      <c r="O21" s="26">
        <v>10</v>
      </c>
      <c r="P21" s="26">
        <v>10</v>
      </c>
      <c r="Q21" s="26">
        <v>10</v>
      </c>
      <c r="R21" s="26">
        <v>10</v>
      </c>
      <c r="S21" s="26"/>
      <c r="T21" s="26"/>
      <c r="U21" s="26">
        <v>10</v>
      </c>
      <c r="V21" s="26">
        <v>10</v>
      </c>
      <c r="W21" s="26">
        <v>10</v>
      </c>
      <c r="X21" s="26">
        <v>12</v>
      </c>
      <c r="Y21" s="26">
        <v>12</v>
      </c>
      <c r="Z21" s="26">
        <v>12</v>
      </c>
      <c r="AA21" s="26"/>
      <c r="AB21" s="26">
        <v>10</v>
      </c>
      <c r="AC21" s="26">
        <v>10</v>
      </c>
      <c r="AD21" s="26">
        <v>10</v>
      </c>
      <c r="AE21" s="26">
        <v>10</v>
      </c>
      <c r="AF21" s="26">
        <v>10</v>
      </c>
      <c r="AG21" s="26">
        <f>SUM(B21:AF21)</f>
        <v>260</v>
      </c>
      <c r="AH21" s="45"/>
      <c r="AI21" s="46"/>
    </row>
    <row r="22" spans="1:35">
      <c r="A22" s="6" t="s">
        <v>78</v>
      </c>
      <c r="B22" s="4">
        <v>3</v>
      </c>
      <c r="C22" s="4">
        <v>4</v>
      </c>
      <c r="D22" s="4">
        <v>5</v>
      </c>
      <c r="E22" s="26"/>
      <c r="F22" s="26"/>
      <c r="G22" s="4">
        <v>6</v>
      </c>
      <c r="H22" s="4">
        <v>7</v>
      </c>
      <c r="I22" s="4">
        <v>8</v>
      </c>
      <c r="J22" s="4">
        <v>0</v>
      </c>
      <c r="K22" s="4">
        <v>0</v>
      </c>
      <c r="L22" s="4">
        <v>5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>
        <f>SUM(B22:AF22)</f>
        <v>38</v>
      </c>
      <c r="AH22" s="45"/>
      <c r="AI22" s="46"/>
    </row>
    <row r="23" spans="1:35">
      <c r="A23" s="1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7" t="s">
        <v>80</v>
      </c>
      <c r="O23" s="7"/>
      <c r="P23" s="7"/>
      <c r="Q23" s="17" t="s">
        <v>81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45"/>
      <c r="AI23" s="46"/>
    </row>
    <row r="24" spans="1:3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45"/>
      <c r="AI24" s="46"/>
    </row>
    <row r="25" spans="1:3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45"/>
      <c r="AI25" s="46"/>
    </row>
    <row r="26" spans="1:3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45"/>
      <c r="AI26" s="46"/>
    </row>
    <row r="27" spans="1:3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45"/>
      <c r="AI27" s="46"/>
    </row>
    <row r="28" spans="1:3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45"/>
      <c r="AI28" s="46"/>
    </row>
    <row r="29" spans="1:3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45"/>
      <c r="AI29" s="46"/>
    </row>
    <row r="30" spans="1:35" ht="15.75" thickBo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47"/>
      <c r="AI30" s="48"/>
    </row>
    <row r="31" spans="1:35" ht="15.75" thickBot="1">
      <c r="A31" s="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/>
    </row>
    <row r="32" spans="1:35" ht="15.75">
      <c r="A32" s="52" t="s">
        <v>8</v>
      </c>
      <c r="B32" s="53"/>
      <c r="C32" s="53"/>
      <c r="D32" s="5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43" t="s">
        <v>10</v>
      </c>
      <c r="AI32" s="44"/>
    </row>
    <row r="33" spans="1:35">
      <c r="A33" s="6" t="s">
        <v>2</v>
      </c>
      <c r="B33" s="18">
        <v>1</v>
      </c>
      <c r="C33" s="18">
        <v>2</v>
      </c>
      <c r="D33" s="18">
        <v>3</v>
      </c>
      <c r="E33" s="18">
        <v>4</v>
      </c>
      <c r="F33" s="18">
        <v>5</v>
      </c>
      <c r="G33" s="18">
        <v>6</v>
      </c>
      <c r="H33" s="18">
        <v>7</v>
      </c>
      <c r="I33" s="18">
        <v>8</v>
      </c>
      <c r="J33" s="18">
        <v>9</v>
      </c>
      <c r="K33" s="18">
        <v>10</v>
      </c>
      <c r="L33" s="18">
        <v>11</v>
      </c>
      <c r="M33" s="18">
        <v>12</v>
      </c>
      <c r="N33" s="18">
        <v>13</v>
      </c>
      <c r="O33" s="18">
        <v>14</v>
      </c>
      <c r="P33" s="18">
        <v>15</v>
      </c>
      <c r="Q33" s="18">
        <v>16</v>
      </c>
      <c r="R33" s="18">
        <v>17</v>
      </c>
      <c r="S33" s="18">
        <v>18</v>
      </c>
      <c r="T33" s="18">
        <v>19</v>
      </c>
      <c r="U33" s="18">
        <v>20</v>
      </c>
      <c r="V33" s="18">
        <v>21</v>
      </c>
      <c r="W33" s="18">
        <v>22</v>
      </c>
      <c r="X33" s="18">
        <v>23</v>
      </c>
      <c r="Y33" s="18">
        <v>24</v>
      </c>
      <c r="Z33" s="18">
        <v>25</v>
      </c>
      <c r="AA33" s="18">
        <v>26</v>
      </c>
      <c r="AB33" s="18">
        <v>27</v>
      </c>
      <c r="AC33" s="18">
        <v>28</v>
      </c>
      <c r="AD33" s="18">
        <v>29</v>
      </c>
      <c r="AE33" s="18">
        <v>30</v>
      </c>
      <c r="AF33" s="18">
        <v>31</v>
      </c>
      <c r="AG33" s="18" t="s">
        <v>9</v>
      </c>
      <c r="AH33" s="45"/>
      <c r="AI33" s="46"/>
    </row>
    <row r="34" spans="1:35">
      <c r="A34" s="8" t="s">
        <v>5</v>
      </c>
      <c r="B34" s="20">
        <v>10</v>
      </c>
      <c r="C34" s="20">
        <v>10</v>
      </c>
      <c r="D34" s="20">
        <v>10</v>
      </c>
      <c r="E34" s="20"/>
      <c r="F34" s="20"/>
      <c r="G34" s="20">
        <v>10</v>
      </c>
      <c r="H34" s="20">
        <v>10</v>
      </c>
      <c r="I34" s="20">
        <v>10</v>
      </c>
      <c r="J34" s="20">
        <v>12</v>
      </c>
      <c r="K34" s="20">
        <v>12</v>
      </c>
      <c r="L34" s="20">
        <v>10</v>
      </c>
      <c r="M34" s="20"/>
      <c r="N34" s="20">
        <v>10</v>
      </c>
      <c r="O34" s="20">
        <v>10</v>
      </c>
      <c r="P34" s="20">
        <v>10</v>
      </c>
      <c r="Q34" s="20">
        <v>10</v>
      </c>
      <c r="R34" s="20">
        <v>10</v>
      </c>
      <c r="S34" s="20"/>
      <c r="T34" s="20"/>
      <c r="U34" s="20">
        <v>10</v>
      </c>
      <c r="V34" s="20">
        <v>10</v>
      </c>
      <c r="W34" s="20">
        <v>10</v>
      </c>
      <c r="X34" s="20">
        <v>12</v>
      </c>
      <c r="Y34" s="20">
        <v>12</v>
      </c>
      <c r="Z34" s="20">
        <v>12</v>
      </c>
      <c r="AA34" s="20"/>
      <c r="AB34" s="20">
        <v>10</v>
      </c>
      <c r="AC34" s="20">
        <v>10</v>
      </c>
      <c r="AD34" s="20">
        <v>10</v>
      </c>
      <c r="AE34" s="20">
        <v>10</v>
      </c>
      <c r="AF34" s="20">
        <v>10</v>
      </c>
      <c r="AG34" s="20">
        <f>SUM(B34:AF34)</f>
        <v>260</v>
      </c>
      <c r="AH34" s="45"/>
      <c r="AI34" s="46"/>
    </row>
    <row r="35" spans="1:35">
      <c r="A35" s="6" t="s">
        <v>78</v>
      </c>
      <c r="B35" s="25">
        <v>3</v>
      </c>
      <c r="C35" s="25">
        <v>4</v>
      </c>
      <c r="D35" s="25">
        <v>5</v>
      </c>
      <c r="E35" s="20"/>
      <c r="F35" s="20"/>
      <c r="G35" s="25">
        <v>6</v>
      </c>
      <c r="H35" s="25">
        <v>7</v>
      </c>
      <c r="I35" s="25">
        <v>8</v>
      </c>
      <c r="J35" s="25">
        <v>0</v>
      </c>
      <c r="K35" s="25">
        <v>0</v>
      </c>
      <c r="L35" s="25">
        <v>5</v>
      </c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>
        <f>SUM(B35:AF35)</f>
        <v>38</v>
      </c>
      <c r="AH35" s="45"/>
      <c r="AI35" s="46"/>
    </row>
    <row r="36" spans="1:35">
      <c r="A36" s="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17" t="s">
        <v>80</v>
      </c>
      <c r="O36" s="7"/>
      <c r="P36" s="7"/>
      <c r="Q36" s="17" t="s">
        <v>81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45"/>
      <c r="AI36" s="46"/>
    </row>
    <row r="37" spans="1:3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45"/>
      <c r="AI37" s="46"/>
    </row>
    <row r="38" spans="1:3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45"/>
      <c r="AI38" s="46"/>
    </row>
    <row r="39" spans="1:3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45"/>
      <c r="AI39" s="46"/>
    </row>
    <row r="40" spans="1:3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45"/>
      <c r="AI40" s="46"/>
    </row>
    <row r="41" spans="1:3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45"/>
      <c r="AI41" s="46"/>
    </row>
    <row r="42" spans="1:3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45"/>
      <c r="AI42" s="46"/>
    </row>
    <row r="43" spans="1:35" ht="15.75" thickBo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47"/>
      <c r="AI43" s="48"/>
    </row>
    <row r="44" spans="1:35" ht="15.75" thickBot="1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2"/>
    </row>
    <row r="45" spans="1:35" ht="15.75">
      <c r="A45" s="40" t="s">
        <v>79</v>
      </c>
      <c r="B45" s="41"/>
      <c r="C45" s="41"/>
      <c r="D45" s="4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43" t="s">
        <v>10</v>
      </c>
      <c r="AI45" s="44"/>
    </row>
    <row r="46" spans="1:35">
      <c r="A46" s="6" t="s">
        <v>2</v>
      </c>
      <c r="B46" s="18">
        <v>1</v>
      </c>
      <c r="C46" s="18">
        <v>2</v>
      </c>
      <c r="D46" s="18">
        <v>3</v>
      </c>
      <c r="E46" s="18">
        <v>4</v>
      </c>
      <c r="F46" s="18">
        <v>5</v>
      </c>
      <c r="G46" s="18">
        <v>6</v>
      </c>
      <c r="H46" s="18">
        <v>7</v>
      </c>
      <c r="I46" s="18">
        <v>8</v>
      </c>
      <c r="J46" s="18">
        <v>9</v>
      </c>
      <c r="K46" s="18">
        <v>10</v>
      </c>
      <c r="L46" s="18">
        <v>11</v>
      </c>
      <c r="M46" s="18">
        <v>12</v>
      </c>
      <c r="N46" s="18">
        <v>13</v>
      </c>
      <c r="O46" s="18">
        <v>14</v>
      </c>
      <c r="P46" s="18">
        <v>15</v>
      </c>
      <c r="Q46" s="18">
        <v>16</v>
      </c>
      <c r="R46" s="18">
        <v>17</v>
      </c>
      <c r="S46" s="18">
        <v>18</v>
      </c>
      <c r="T46" s="18">
        <v>19</v>
      </c>
      <c r="U46" s="18">
        <v>20</v>
      </c>
      <c r="V46" s="18">
        <v>21</v>
      </c>
      <c r="W46" s="18">
        <v>22</v>
      </c>
      <c r="X46" s="18">
        <v>23</v>
      </c>
      <c r="Y46" s="18">
        <v>24</v>
      </c>
      <c r="Z46" s="18">
        <v>25</v>
      </c>
      <c r="AA46" s="18">
        <v>26</v>
      </c>
      <c r="AB46" s="18">
        <v>27</v>
      </c>
      <c r="AC46" s="18">
        <v>28</v>
      </c>
      <c r="AD46" s="18">
        <v>29</v>
      </c>
      <c r="AE46" s="18">
        <v>30</v>
      </c>
      <c r="AF46" s="18">
        <v>31</v>
      </c>
      <c r="AG46" s="18" t="s">
        <v>9</v>
      </c>
      <c r="AH46" s="45"/>
      <c r="AI46" s="46"/>
    </row>
    <row r="47" spans="1:35">
      <c r="A47" s="8" t="s">
        <v>5</v>
      </c>
      <c r="B47" s="20">
        <v>10</v>
      </c>
      <c r="C47" s="20">
        <v>10</v>
      </c>
      <c r="D47" s="20">
        <v>10</v>
      </c>
      <c r="E47" s="20"/>
      <c r="F47" s="20"/>
      <c r="G47" s="20">
        <v>10</v>
      </c>
      <c r="H47" s="20">
        <v>10</v>
      </c>
      <c r="I47" s="20">
        <v>10</v>
      </c>
      <c r="J47" s="20">
        <v>12</v>
      </c>
      <c r="K47" s="20">
        <v>12</v>
      </c>
      <c r="L47" s="20">
        <v>10</v>
      </c>
      <c r="M47" s="20"/>
      <c r="N47" s="20">
        <v>10</v>
      </c>
      <c r="O47" s="20">
        <v>10</v>
      </c>
      <c r="P47" s="20">
        <v>10</v>
      </c>
      <c r="Q47" s="20">
        <v>10</v>
      </c>
      <c r="R47" s="20">
        <v>10</v>
      </c>
      <c r="S47" s="20"/>
      <c r="T47" s="20"/>
      <c r="U47" s="20">
        <v>10</v>
      </c>
      <c r="V47" s="20">
        <v>10</v>
      </c>
      <c r="W47" s="20">
        <v>10</v>
      </c>
      <c r="X47" s="20">
        <v>12</v>
      </c>
      <c r="Y47" s="20">
        <v>12</v>
      </c>
      <c r="Z47" s="20">
        <v>12</v>
      </c>
      <c r="AA47" s="20"/>
      <c r="AB47" s="20">
        <v>10</v>
      </c>
      <c r="AC47" s="20">
        <v>10</v>
      </c>
      <c r="AD47" s="20">
        <v>10</v>
      </c>
      <c r="AE47" s="20">
        <v>10</v>
      </c>
      <c r="AF47" s="20">
        <v>10</v>
      </c>
      <c r="AG47" s="20">
        <f>SUM(B47:AF47)</f>
        <v>260</v>
      </c>
      <c r="AH47" s="45"/>
      <c r="AI47" s="46"/>
    </row>
    <row r="48" spans="1:35">
      <c r="A48" s="6" t="s">
        <v>78</v>
      </c>
      <c r="B48" s="25">
        <v>3</v>
      </c>
      <c r="C48" s="25">
        <v>4</v>
      </c>
      <c r="D48" s="25">
        <v>5</v>
      </c>
      <c r="E48" s="20"/>
      <c r="F48" s="20"/>
      <c r="G48" s="25">
        <v>6</v>
      </c>
      <c r="H48" s="25">
        <v>7</v>
      </c>
      <c r="I48" s="25">
        <v>8</v>
      </c>
      <c r="J48" s="25">
        <v>0</v>
      </c>
      <c r="K48" s="25">
        <v>0</v>
      </c>
      <c r="L48" s="25">
        <v>5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>
        <f>SUM(B48:AF48)</f>
        <v>38</v>
      </c>
      <c r="AH48" s="45"/>
      <c r="AI48" s="46"/>
    </row>
    <row r="49" spans="1:35">
      <c r="A49" s="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7" t="s">
        <v>80</v>
      </c>
      <c r="O49" s="7"/>
      <c r="P49" s="7"/>
      <c r="Q49" s="17" t="s">
        <v>81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45"/>
      <c r="AI49" s="46"/>
    </row>
    <row r="50" spans="1:3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45"/>
      <c r="AI50" s="46"/>
    </row>
    <row r="51" spans="1:3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45"/>
      <c r="AI51" s="46"/>
    </row>
    <row r="52" spans="1:3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45"/>
      <c r="AI52" s="46"/>
    </row>
    <row r="53" spans="1:3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45"/>
      <c r="AI53" s="46"/>
    </row>
    <row r="54" spans="1:3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45"/>
      <c r="AI54" s="46"/>
    </row>
    <row r="55" spans="1:3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45"/>
      <c r="AI55" s="46"/>
    </row>
    <row r="56" spans="1:35" ht="15.75" thickBot="1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47"/>
      <c r="AI56" s="48"/>
    </row>
  </sheetData>
  <mergeCells count="13">
    <mergeCell ref="A45:D45"/>
    <mergeCell ref="AH45:AI56"/>
    <mergeCell ref="AH6:AI17"/>
    <mergeCell ref="A19:D19"/>
    <mergeCell ref="AH19:AI30"/>
    <mergeCell ref="A32:D32"/>
    <mergeCell ref="AH32:AI43"/>
    <mergeCell ref="A6:D6"/>
    <mergeCell ref="AH2:AI2"/>
    <mergeCell ref="A1:AI1"/>
    <mergeCell ref="AH3:AI3"/>
    <mergeCell ref="AH4:AI4"/>
    <mergeCell ref="E2:AF4"/>
  </mergeCells>
  <pageMargins left="0.7" right="0.7" top="0.75" bottom="0.75" header="0.3" footer="0.3"/>
  <pageSetup paperSize="9" scale="5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2"/>
  <sheetViews>
    <sheetView workbookViewId="0">
      <selection activeCell="L3" sqref="L3"/>
    </sheetView>
  </sheetViews>
  <sheetFormatPr defaultColWidth="9" defaultRowHeight="15"/>
  <cols>
    <col min="12" max="12" width="9.7109375" customWidth="1"/>
  </cols>
  <sheetData>
    <row r="1" spans="2:13">
      <c r="B1" t="s">
        <v>19</v>
      </c>
    </row>
    <row r="2" spans="2:13">
      <c r="C2" t="s">
        <v>20</v>
      </c>
      <c r="D2" t="s">
        <v>21</v>
      </c>
      <c r="E2" t="s">
        <v>22</v>
      </c>
      <c r="F2" t="s">
        <v>23</v>
      </c>
      <c r="L2" t="s">
        <v>24</v>
      </c>
      <c r="M2" t="s">
        <v>25</v>
      </c>
    </row>
    <row r="3" spans="2:13"/>
    <row r="11" spans="2:13">
      <c r="B11" t="s">
        <v>26</v>
      </c>
    </row>
    <row r="12" spans="2:13">
      <c r="C12" t="s">
        <v>20</v>
      </c>
      <c r="D12" t="s">
        <v>21</v>
      </c>
      <c r="E12" t="s">
        <v>22</v>
      </c>
      <c r="F12" t="s">
        <v>23</v>
      </c>
    </row>
    <row r="13" spans="2:13"/>
    <row r="20" spans="2:6">
      <c r="B20" t="s">
        <v>27</v>
      </c>
    </row>
    <row r="21" spans="2:6">
      <c r="C21" t="s">
        <v>20</v>
      </c>
      <c r="D21" t="s">
        <v>21</v>
      </c>
      <c r="E21" t="s">
        <v>22</v>
      </c>
      <c r="F21" t="s">
        <v>23</v>
      </c>
    </row>
    <row r="22" spans="2:6"/>
    <row r="30" spans="2:6">
      <c r="B30" t="s">
        <v>28</v>
      </c>
    </row>
    <row r="31" spans="2:6">
      <c r="C31" t="s">
        <v>20</v>
      </c>
      <c r="D31" t="s">
        <v>21</v>
      </c>
      <c r="E31" t="s">
        <v>22</v>
      </c>
      <c r="F31" t="s">
        <v>23</v>
      </c>
    </row>
    <row r="32" spans="2:6"/>
  </sheetData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44"/>
  <sheetViews>
    <sheetView workbookViewId="0">
      <selection activeCell="B24" sqref="B24"/>
    </sheetView>
  </sheetViews>
  <sheetFormatPr defaultColWidth="9" defaultRowHeight="15"/>
  <cols>
    <col min="2" max="2" width="33.140625" customWidth="1"/>
    <col min="3" max="3" width="10.140625" customWidth="1"/>
    <col min="4" max="4" width="9.85546875" customWidth="1"/>
    <col min="5" max="5" width="10" customWidth="1"/>
  </cols>
  <sheetData>
    <row r="2" spans="1:15">
      <c r="B2" t="s">
        <v>29</v>
      </c>
    </row>
    <row r="4" spans="1:15">
      <c r="A4">
        <v>1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</row>
    <row r="5" spans="1:15">
      <c r="B5" t="s">
        <v>11</v>
      </c>
      <c r="C5">
        <v>0</v>
      </c>
      <c r="D5">
        <v>0</v>
      </c>
      <c r="E5">
        <v>0</v>
      </c>
      <c r="F5">
        <v>0</v>
      </c>
      <c r="G5">
        <v>0.5</v>
      </c>
      <c r="H5">
        <v>73.7</v>
      </c>
      <c r="I5">
        <v>74.099999999999994</v>
      </c>
      <c r="N5" t="s">
        <v>12</v>
      </c>
    </row>
    <row r="6" spans="1:15">
      <c r="B6" t="s">
        <v>13</v>
      </c>
      <c r="C6">
        <v>0</v>
      </c>
      <c r="D6">
        <v>0</v>
      </c>
      <c r="E6">
        <v>0</v>
      </c>
      <c r="F6">
        <v>0</v>
      </c>
      <c r="G6">
        <v>156.30000000000001</v>
      </c>
      <c r="H6">
        <v>0</v>
      </c>
      <c r="I6">
        <v>156.30000000000001</v>
      </c>
      <c r="N6" t="s">
        <v>14</v>
      </c>
    </row>
    <row r="7" spans="1:15"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0.2</v>
      </c>
      <c r="I7">
        <v>0.2</v>
      </c>
    </row>
    <row r="8" spans="1:15">
      <c r="B8" t="s">
        <v>16</v>
      </c>
      <c r="C8">
        <v>0</v>
      </c>
      <c r="D8">
        <v>0</v>
      </c>
      <c r="E8">
        <v>0</v>
      </c>
      <c r="F8">
        <v>0</v>
      </c>
      <c r="G8">
        <v>0.1</v>
      </c>
      <c r="H8">
        <v>0.1</v>
      </c>
      <c r="I8">
        <v>0.2</v>
      </c>
      <c r="N8" t="s">
        <v>17</v>
      </c>
    </row>
    <row r="9" spans="1:15">
      <c r="B9" t="s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21" spans="1:15">
      <c r="B21" t="s">
        <v>44</v>
      </c>
    </row>
    <row r="23" spans="1:15">
      <c r="A23">
        <v>2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t="s">
        <v>43</v>
      </c>
    </row>
    <row r="24" spans="1:15">
      <c r="B24" t="s">
        <v>11</v>
      </c>
      <c r="C24">
        <v>0</v>
      </c>
      <c r="D24">
        <v>0</v>
      </c>
      <c r="E24">
        <v>0</v>
      </c>
      <c r="F24">
        <v>0</v>
      </c>
      <c r="G24">
        <v>19.600000000000001</v>
      </c>
      <c r="H24">
        <v>974.8</v>
      </c>
      <c r="I24">
        <v>994.4</v>
      </c>
      <c r="N24" t="s">
        <v>45</v>
      </c>
      <c r="O24" t="s">
        <v>46</v>
      </c>
    </row>
    <row r="25" spans="1:15">
      <c r="B25" t="s">
        <v>13</v>
      </c>
      <c r="C25">
        <v>0</v>
      </c>
      <c r="D25">
        <v>0</v>
      </c>
      <c r="E25">
        <v>0</v>
      </c>
      <c r="F25">
        <v>0</v>
      </c>
      <c r="G25">
        <v>1219.0999999999999</v>
      </c>
      <c r="H25">
        <v>89.8</v>
      </c>
      <c r="I25">
        <v>1308.9000000000001</v>
      </c>
      <c r="N25" t="s">
        <v>14</v>
      </c>
      <c r="O25" t="s">
        <v>14</v>
      </c>
    </row>
    <row r="26" spans="1:15">
      <c r="B26" t="s">
        <v>15</v>
      </c>
      <c r="C26">
        <v>0</v>
      </c>
      <c r="D26">
        <v>0</v>
      </c>
      <c r="E26">
        <v>0</v>
      </c>
      <c r="F26">
        <v>0</v>
      </c>
      <c r="G26">
        <v>0.2</v>
      </c>
      <c r="H26">
        <v>111.6</v>
      </c>
      <c r="I26">
        <v>111.8</v>
      </c>
      <c r="N26" t="s">
        <v>47</v>
      </c>
      <c r="O26" t="s">
        <v>48</v>
      </c>
    </row>
    <row r="27" spans="1:15">
      <c r="B27" t="s">
        <v>16</v>
      </c>
      <c r="C27">
        <v>0</v>
      </c>
      <c r="D27">
        <v>0</v>
      </c>
      <c r="E27">
        <v>0</v>
      </c>
      <c r="F27">
        <v>0</v>
      </c>
      <c r="G27">
        <v>0.4</v>
      </c>
      <c r="H27">
        <v>12.7</v>
      </c>
      <c r="I27">
        <v>13</v>
      </c>
      <c r="N27" t="s">
        <v>49</v>
      </c>
      <c r="O27" t="s">
        <v>50</v>
      </c>
    </row>
    <row r="28" spans="1:15">
      <c r="B28" t="s">
        <v>18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41" spans="1:13">
      <c r="B41" t="s">
        <v>51</v>
      </c>
    </row>
    <row r="43" spans="1:13">
      <c r="A43">
        <v>3</v>
      </c>
    </row>
    <row r="44" spans="1:13"/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2"/>
  <sheetViews>
    <sheetView workbookViewId="0">
      <selection activeCell="B24" sqref="B24"/>
    </sheetView>
  </sheetViews>
  <sheetFormatPr defaultColWidth="9" defaultRowHeight="15"/>
  <sheetData>
    <row r="1" spans="2:13">
      <c r="B1" t="s">
        <v>19</v>
      </c>
    </row>
    <row r="2" spans="2:13"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</row>
    <row r="3" spans="2:13"/>
    <row r="10" spans="2:13">
      <c r="B10" t="s">
        <v>26</v>
      </c>
    </row>
    <row r="11" spans="2:13"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</row>
    <row r="12" spans="2:13"/>
    <row r="20" spans="2:13">
      <c r="B20" t="s">
        <v>27</v>
      </c>
    </row>
    <row r="21" spans="2:13"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57</v>
      </c>
      <c r="I21" t="s">
        <v>58</v>
      </c>
      <c r="J21" t="s">
        <v>59</v>
      </c>
      <c r="K21" t="s">
        <v>60</v>
      </c>
      <c r="L21" t="s">
        <v>61</v>
      </c>
      <c r="M21" t="s">
        <v>62</v>
      </c>
    </row>
    <row r="22" spans="2:13"/>
    <row r="30" spans="2:13">
      <c r="B30" t="s">
        <v>28</v>
      </c>
    </row>
    <row r="31" spans="2:13"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57</v>
      </c>
      <c r="I31" t="s">
        <v>58</v>
      </c>
      <c r="J31" t="s">
        <v>59</v>
      </c>
      <c r="K31" t="s">
        <v>60</v>
      </c>
      <c r="L31" t="s">
        <v>61</v>
      </c>
      <c r="M31" t="s">
        <v>62</v>
      </c>
    </row>
    <row r="32" spans="2:13"/>
  </sheetData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32"/>
  <sheetViews>
    <sheetView workbookViewId="0">
      <selection activeCell="C31" sqref="C31:F32"/>
    </sheetView>
  </sheetViews>
  <sheetFormatPr defaultColWidth="9" defaultRowHeight="15"/>
  <sheetData>
    <row r="1" spans="2:6">
      <c r="B1" t="s">
        <v>19</v>
      </c>
    </row>
    <row r="2" spans="2:6">
      <c r="C2" t="s">
        <v>63</v>
      </c>
      <c r="D2" t="s">
        <v>64</v>
      </c>
      <c r="E2" t="s">
        <v>65</v>
      </c>
      <c r="F2" t="s">
        <v>23</v>
      </c>
    </row>
    <row r="3" spans="2:6"/>
    <row r="10" spans="2:6">
      <c r="B10" t="s">
        <v>26</v>
      </c>
    </row>
    <row r="11" spans="2:6">
      <c r="C11" t="s">
        <v>63</v>
      </c>
      <c r="D11" t="s">
        <v>64</v>
      </c>
      <c r="E11" t="s">
        <v>65</v>
      </c>
      <c r="F11" t="s">
        <v>23</v>
      </c>
    </row>
    <row r="12" spans="2:6"/>
    <row r="20" spans="2:6">
      <c r="B20" t="s">
        <v>27</v>
      </c>
    </row>
    <row r="21" spans="2:6">
      <c r="C21" t="s">
        <v>63</v>
      </c>
      <c r="D21" t="s">
        <v>64</v>
      </c>
      <c r="E21" t="s">
        <v>65</v>
      </c>
      <c r="F21" t="s">
        <v>23</v>
      </c>
    </row>
    <row r="22" spans="2:6"/>
    <row r="30" spans="2:6">
      <c r="B30" t="s">
        <v>28</v>
      </c>
    </row>
    <row r="31" spans="2:6">
      <c r="C31" t="s">
        <v>63</v>
      </c>
      <c r="D31" t="s">
        <v>64</v>
      </c>
      <c r="E31" t="s">
        <v>65</v>
      </c>
      <c r="F31" t="s">
        <v>23</v>
      </c>
    </row>
    <row r="32" spans="2:6"/>
  </sheetData>
  <pageMargins left="0.7" right="0.7" top="0.75" bottom="0.75" header="0.3" footer="0.3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12"/>
  <sheetViews>
    <sheetView workbookViewId="0">
      <selection activeCell="C11" sqref="C11:F12"/>
    </sheetView>
  </sheetViews>
  <sheetFormatPr defaultColWidth="9" defaultRowHeight="15"/>
  <sheetData>
    <row r="1" spans="2:6">
      <c r="B1" t="s">
        <v>19</v>
      </c>
    </row>
    <row r="2" spans="2:6">
      <c r="C2" t="s">
        <v>66</v>
      </c>
      <c r="D2" t="s">
        <v>67</v>
      </c>
      <c r="E2" t="s">
        <v>68</v>
      </c>
      <c r="F2" t="s">
        <v>23</v>
      </c>
    </row>
    <row r="3" spans="2:6"/>
    <row r="10" spans="2:6">
      <c r="B10" t="s">
        <v>26</v>
      </c>
    </row>
    <row r="11" spans="2:6">
      <c r="C11" t="s">
        <v>66</v>
      </c>
      <c r="D11" t="s">
        <v>67</v>
      </c>
      <c r="E11" t="s">
        <v>68</v>
      </c>
      <c r="F11" t="s">
        <v>23</v>
      </c>
    </row>
    <row r="12" spans="2:6"/>
  </sheetData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32"/>
  <sheetViews>
    <sheetView workbookViewId="0">
      <selection activeCell="C31" sqref="C31:F32"/>
    </sheetView>
  </sheetViews>
  <sheetFormatPr defaultColWidth="9" defaultRowHeight="15"/>
  <sheetData>
    <row r="1" spans="2:8">
      <c r="B1" t="s">
        <v>19</v>
      </c>
    </row>
    <row r="2" spans="2:8">
      <c r="C2" t="s">
        <v>69</v>
      </c>
      <c r="D2" t="s">
        <v>70</v>
      </c>
      <c r="E2" t="s">
        <v>71</v>
      </c>
      <c r="F2" t="s">
        <v>23</v>
      </c>
    </row>
    <row r="3" spans="2:8">
      <c r="B3" t="s">
        <v>72</v>
      </c>
      <c r="H3" t="str">
        <f>_xlfn.CONCAT(B3,C3)</f>
        <v xml:space="preserve">Micky </v>
      </c>
    </row>
    <row r="10" spans="2:8">
      <c r="B10" t="s">
        <v>26</v>
      </c>
    </row>
    <row r="11" spans="2:8">
      <c r="C11" t="s">
        <v>69</v>
      </c>
      <c r="D11" t="s">
        <v>70</v>
      </c>
      <c r="E11" t="s">
        <v>71</v>
      </c>
      <c r="F11" t="s">
        <v>23</v>
      </c>
    </row>
    <row r="12" spans="2:8">
      <c r="B12" t="s">
        <v>73</v>
      </c>
      <c r="H12" t="str">
        <f>_xlfn.CONCAT(B12,C12)</f>
        <v xml:space="preserve">D+6 </v>
      </c>
    </row>
    <row r="20" spans="2:6">
      <c r="B20" t="s">
        <v>27</v>
      </c>
    </row>
    <row r="21" spans="2:6">
      <c r="C21" t="s">
        <v>69</v>
      </c>
      <c r="D21" t="s">
        <v>70</v>
      </c>
      <c r="E21" t="s">
        <v>71</v>
      </c>
      <c r="F21" t="s">
        <v>23</v>
      </c>
    </row>
    <row r="22" spans="2:6"/>
    <row r="30" spans="2:6">
      <c r="B30" t="s">
        <v>28</v>
      </c>
    </row>
    <row r="31" spans="2:6">
      <c r="C31" t="s">
        <v>69</v>
      </c>
      <c r="D31" t="s">
        <v>70</v>
      </c>
      <c r="E31" t="s">
        <v>71</v>
      </c>
      <c r="F31" t="s">
        <v>23</v>
      </c>
    </row>
    <row r="32" spans="2:6"/>
  </sheetData>
  <pageMargins left="0.7" right="0.7" top="0.75" bottom="0.75" header="0.3" footer="0.3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32"/>
  <sheetViews>
    <sheetView workbookViewId="0">
      <selection activeCell="C31" sqref="C31:F32"/>
    </sheetView>
  </sheetViews>
  <sheetFormatPr defaultColWidth="9" defaultRowHeight="15"/>
  <sheetData>
    <row r="1" spans="2:8">
      <c r="B1" t="s">
        <v>19</v>
      </c>
    </row>
    <row r="2" spans="2:8">
      <c r="C2" t="s">
        <v>74</v>
      </c>
      <c r="D2" t="s">
        <v>75</v>
      </c>
      <c r="E2" t="s">
        <v>65</v>
      </c>
      <c r="F2" t="s">
        <v>23</v>
      </c>
    </row>
    <row r="3" spans="2:8">
      <c r="B3" t="s">
        <v>76</v>
      </c>
      <c r="C3" t="s">
        <v>77</v>
      </c>
      <c r="D3">
        <v>88</v>
      </c>
      <c r="E3">
        <v>68</v>
      </c>
      <c r="F3">
        <f>D3-E3</f>
        <v>20</v>
      </c>
      <c r="H3" t="str">
        <f>_xlfn.CONCAT(B3,C3)</f>
        <v>FY 25-26</v>
      </c>
    </row>
    <row r="10" spans="2:8">
      <c r="B10" t="s">
        <v>26</v>
      </c>
    </row>
    <row r="11" spans="2:8">
      <c r="C11" t="s">
        <v>74</v>
      </c>
      <c r="D11" t="s">
        <v>75</v>
      </c>
      <c r="E11" t="s">
        <v>65</v>
      </c>
      <c r="F11" t="s">
        <v>23</v>
      </c>
    </row>
    <row r="12" spans="2:8">
      <c r="B12" t="s">
        <v>76</v>
      </c>
      <c r="C12" t="s">
        <v>77</v>
      </c>
      <c r="D12">
        <v>88</v>
      </c>
      <c r="E12">
        <v>68</v>
      </c>
      <c r="F12">
        <f>D12-E12</f>
        <v>20</v>
      </c>
    </row>
    <row r="20" spans="2:6">
      <c r="B20" t="s">
        <v>27</v>
      </c>
    </row>
    <row r="21" spans="2:6">
      <c r="C21" t="s">
        <v>74</v>
      </c>
      <c r="D21" t="s">
        <v>75</v>
      </c>
      <c r="E21" t="s">
        <v>65</v>
      </c>
      <c r="F21" t="s">
        <v>23</v>
      </c>
    </row>
    <row r="22" spans="2:6">
      <c r="B22" t="s">
        <v>76</v>
      </c>
      <c r="C22" t="s">
        <v>77</v>
      </c>
      <c r="D22">
        <v>88</v>
      </c>
      <c r="E22">
        <v>68</v>
      </c>
      <c r="F22">
        <f>D22-E22</f>
        <v>20</v>
      </c>
    </row>
    <row r="30" spans="2:6">
      <c r="B30" t="s">
        <v>28</v>
      </c>
    </row>
    <row r="31" spans="2:6">
      <c r="C31" t="s">
        <v>74</v>
      </c>
      <c r="D31" t="s">
        <v>75</v>
      </c>
      <c r="E31" t="s">
        <v>65</v>
      </c>
      <c r="F31" t="s">
        <v>23</v>
      </c>
    </row>
    <row r="32" spans="2:6">
      <c r="B32" t="s">
        <v>76</v>
      </c>
      <c r="C32" t="s">
        <v>77</v>
      </c>
      <c r="D32">
        <v>88</v>
      </c>
      <c r="E32">
        <v>68</v>
      </c>
      <c r="F32">
        <f>D32-E32</f>
        <v>20</v>
      </c>
    </row>
  </sheetData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26</vt:i4>
      </vt:variant>
    </vt:vector>
  </HeadingPairs>
  <TitlesOfParts>
    <vt:vector size="34" baseType="lpstr">
      <vt:lpstr>Daily Report</vt:lpstr>
      <vt:lpstr>Daily</vt:lpstr>
      <vt:lpstr>Line Stop_Prod Loss</vt:lpstr>
      <vt:lpstr>Weely</vt:lpstr>
      <vt:lpstr>Monthly</vt:lpstr>
      <vt:lpstr>MTD</vt:lpstr>
      <vt:lpstr>YTD</vt:lpstr>
      <vt:lpstr>PrevFY</vt:lpstr>
      <vt:lpstr>Daily_C12_F13</vt:lpstr>
      <vt:lpstr>Daily_C2_F3</vt:lpstr>
      <vt:lpstr>Daily_C21_F22</vt:lpstr>
      <vt:lpstr>Daily_C31_F32</vt:lpstr>
      <vt:lpstr>Daily_L2_M3</vt:lpstr>
      <vt:lpstr>Line_Stop_Prod_Loss_B23_O24</vt:lpstr>
      <vt:lpstr>Line_Stop_Prod_Loss_B4_O5</vt:lpstr>
      <vt:lpstr>Line_Stop_Prod_Loss_B43_M44</vt:lpstr>
      <vt:lpstr>Monthly_C11_F12</vt:lpstr>
      <vt:lpstr>Monthly_C2_F3</vt:lpstr>
      <vt:lpstr>Monthly_C21_F22</vt:lpstr>
      <vt:lpstr>Monthly_C31_F32</vt:lpstr>
      <vt:lpstr>MTD_C11_F12</vt:lpstr>
      <vt:lpstr>MTD_C2_F3</vt:lpstr>
      <vt:lpstr>PrevFY_C11_F12</vt:lpstr>
      <vt:lpstr>PrevFY_C2_F3</vt:lpstr>
      <vt:lpstr>PrevFY_C21_F22</vt:lpstr>
      <vt:lpstr>PrevFY_C31_F32</vt:lpstr>
      <vt:lpstr>Weely_C11_M12</vt:lpstr>
      <vt:lpstr>Weely_C2_M3</vt:lpstr>
      <vt:lpstr>Weely_C21_M22</vt:lpstr>
      <vt:lpstr>Weely_C31_M32</vt:lpstr>
      <vt:lpstr>YTD_C11_F12</vt:lpstr>
      <vt:lpstr>YTD_C2_F3</vt:lpstr>
      <vt:lpstr>YTD_C21_F22</vt:lpstr>
      <vt:lpstr>YTD_C31_F32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2026-06-11T03:34:25Z</cp:lastPrinted>
  <dcterms:created xsi:type="dcterms:W3CDTF">2006-09-16T00:00:00Z</dcterms:created>
  <dcterms:modified xsi:type="dcterms:W3CDTF">2026-06-11T06:58:19Z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408DD1E7D71E4B45A07D64CD5180090F_12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