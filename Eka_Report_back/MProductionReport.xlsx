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\Eka_Report\Eka_Report_back\"/>
    </mc:Choice>
  </mc:AlternateContent>
  <xr:revisionPtr revIDLastSave="0" documentId="13_ncr:1_{BD46AC6D-2A7E-4DD3-9340-A7AB58817560}" xr6:coauthVersionLast="47" xr6:coauthVersionMax="47" xr10:uidLastSave="{00000000-0000-0000-0000-000000000000}"/>
  <bookViews>
    <workbookView xWindow="5760" yWindow="3540" windowWidth="17280" windowHeight="9420" xr2:uid="{00000000-000D-0000-FFFF-FFFF00000000}"/>
  </bookViews>
  <sheets>
    <sheet name="Manag Report" sheetId="12" r:id="rId1"/>
    <sheet name="Daily" sheetId="4" state="hidden" r:id="rId2"/>
    <sheet name="Line Stop_Prod Loss" sheetId="5" state="hidden" r:id="rId3"/>
    <sheet name="Weely" sheetId="6" state="hidden" r:id="rId4"/>
    <sheet name="Monthly" sheetId="7" state="hidden" r:id="rId5"/>
    <sheet name="MTD" sheetId="8" state="hidden" r:id="rId6"/>
    <sheet name="YTD" sheetId="9" state="hidden" r:id="rId7"/>
    <sheet name="PrevFY" sheetId="10" state="hidden" r:id="rId8"/>
  </sheets>
  <definedNames>
    <definedName name="Daily_C12_F13">Daily!$C$12:$F$13</definedName>
    <definedName name="Daily_C2_F3">Daily!$C$2:$F$3</definedName>
    <definedName name="Daily_C21_F22">Daily!$C$21:$F$22</definedName>
    <definedName name="Daily_C31_F32">Daily!$C$31:$F$32</definedName>
    <definedName name="Daily_L2_M3">Daily!$L$2:$M$3</definedName>
    <definedName name="Line_Stop_Prod_Loss_B23_O24">'Line Stop_Prod Loss'!$B$23:$O$24</definedName>
    <definedName name="Line_Stop_Prod_Loss_B4_O5">'Line Stop_Prod Loss'!$B$4:$O$5</definedName>
    <definedName name="Line_Stop_Prod_Loss_B43_M44">'Line Stop_Prod Loss'!$B$43:$M$44</definedName>
    <definedName name="Monthly_C11_F12">Monthly!$C$11:$F$12</definedName>
    <definedName name="Monthly_C2_F3">Monthly!$C$2:$F$3</definedName>
    <definedName name="Monthly_C21_F22">Monthly!$C$21:$F$22</definedName>
    <definedName name="Monthly_C31_F32">Monthly!$C$31:$F$32</definedName>
    <definedName name="MTD_C11_F12">MTD!$C$11:$F$12</definedName>
    <definedName name="MTD_C2_F3">MTD!$C$2:$F$3</definedName>
    <definedName name="PrevFY_C11_F12">PrevFY!$C$11:$F$12</definedName>
    <definedName name="PrevFY_C2_F3">PrevFY!$C$2:$F$3</definedName>
    <definedName name="PrevFY_C21_F22">PrevFY!$C$21:$F$22</definedName>
    <definedName name="PrevFY_C31_F32">PrevFY!$C$31:$F$32</definedName>
    <definedName name="_xlnm.Print_Area" localSheetId="0">'Manag Report'!$A$3:$U$55</definedName>
    <definedName name="Weely_C11_M12">Weely!$C$11:$M$12</definedName>
    <definedName name="Weely_C2_M3">Weely!$C$2:$M$3</definedName>
    <definedName name="Weely_C21_M22">Weely!$C$21:$M$22</definedName>
    <definedName name="Weely_C31_M32">Weely!$C$31:$M$32</definedName>
    <definedName name="YTD_C11_F12">YTD!$C$11:$F$12</definedName>
    <definedName name="YTD_C2_F3">YTD!$C$2:$F$3</definedName>
    <definedName name="YTD_C21_F22">YTD!$C$21:$F$22</definedName>
    <definedName name="YTD_C31_F32">YTD!$C$31:$F$32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2" l="1"/>
  <c r="J52" i="12"/>
  <c r="I52" i="12"/>
  <c r="H52" i="12"/>
  <c r="G52" i="12"/>
  <c r="F52" i="12"/>
  <c r="E52" i="12"/>
  <c r="J51" i="12"/>
  <c r="I51" i="12"/>
  <c r="H51" i="12"/>
  <c r="G51" i="12"/>
  <c r="F51" i="12"/>
  <c r="E51" i="12"/>
  <c r="J50" i="12"/>
  <c r="I50" i="12"/>
  <c r="H50" i="12"/>
  <c r="G50" i="12"/>
  <c r="F50" i="12"/>
  <c r="E50" i="12"/>
  <c r="J49" i="12"/>
  <c r="I49" i="12"/>
  <c r="H49" i="12"/>
  <c r="G49" i="12"/>
  <c r="F49" i="12"/>
  <c r="E49" i="12"/>
  <c r="J48" i="12"/>
  <c r="I48" i="12"/>
  <c r="H48" i="12"/>
  <c r="G48" i="12"/>
  <c r="F48" i="12"/>
  <c r="E48" i="12"/>
  <c r="M30" i="12"/>
  <c r="L30" i="12"/>
  <c r="K30" i="12"/>
  <c r="J30" i="12"/>
  <c r="I30" i="12"/>
  <c r="M29" i="12"/>
  <c r="L29" i="12"/>
  <c r="K29" i="12"/>
  <c r="J29" i="12"/>
  <c r="I29" i="12"/>
  <c r="O26" i="12"/>
  <c r="N26" i="12"/>
  <c r="P26" i="12" s="1"/>
  <c r="M26" i="12"/>
  <c r="L26" i="12"/>
  <c r="K26" i="12"/>
  <c r="J26" i="12"/>
  <c r="I26" i="12"/>
  <c r="H26" i="12"/>
  <c r="G26" i="12"/>
  <c r="F26" i="12"/>
  <c r="E26" i="12"/>
  <c r="D26" i="12"/>
  <c r="C26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P18" i="12"/>
  <c r="O17" i="12"/>
  <c r="N17" i="12"/>
  <c r="P17" i="12" s="1"/>
  <c r="M17" i="12"/>
  <c r="L17" i="12"/>
  <c r="K17" i="12"/>
  <c r="J17" i="12"/>
  <c r="I17" i="12"/>
  <c r="H17" i="12"/>
  <c r="G17" i="12"/>
  <c r="F17" i="12"/>
  <c r="E17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G14" i="12"/>
  <c r="F14" i="12"/>
  <c r="E14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G13" i="12"/>
  <c r="F13" i="12"/>
  <c r="E13" i="12"/>
  <c r="U9" i="12"/>
  <c r="T9" i="12"/>
  <c r="U6" i="12"/>
  <c r="U5" i="12"/>
  <c r="P25" i="12" l="1"/>
  <c r="F32" i="10" l="1"/>
  <c r="F22" i="10"/>
  <c r="F12" i="10"/>
  <c r="H3" i="10"/>
  <c r="F3" i="10"/>
  <c r="H12" i="9"/>
  <c r="H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DELL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charset val="134"/>
            <scheme val="minor"/>
          </rPr>
          <t xml:space="preserve">Administrator:
REPORT GENERATION DATE &amp; TIME </t>
        </r>
      </text>
    </comment>
    <comment ref="U4" authorId="1" shapeId="0" xr:uid="{00000000-0006-0000-0000-000002000000}">
      <text>
        <r>
          <rPr>
            <sz val="11"/>
            <color theme="1"/>
            <rFont val="Calibri"/>
            <charset val="134"/>
            <scheme val="minor"/>
          </rPr>
          <t>DELL:
Production month</t>
        </r>
      </text>
    </comment>
    <comment ref="U5" authorId="1" shapeId="0" xr:uid="{00000000-0006-0000-0000-000003000000}">
      <text>
        <r>
          <rPr>
            <sz val="11"/>
            <color theme="1"/>
            <rFont val="Calibri"/>
            <charset val="134"/>
            <scheme val="minor"/>
          </rPr>
          <t>DELL:
Month days excluding weekly off and holidays</t>
        </r>
      </text>
    </comment>
    <comment ref="U6" authorId="1" shapeId="0" xr:uid="{00000000-0006-0000-0000-000004000000}">
      <text>
        <r>
          <rPr>
            <sz val="11"/>
            <color theme="1"/>
            <rFont val="Calibri"/>
            <charset val="134"/>
            <scheme val="minor"/>
          </rPr>
          <t>DELL:
remaining working days of month</t>
        </r>
      </text>
    </comment>
    <comment ref="E11" authorId="1" shapeId="0" xr:uid="{00000000-0006-0000-0000-000005000000}">
      <text>
        <r>
          <rPr>
            <sz val="11"/>
            <color theme="1"/>
            <rFont val="Calibri"/>
            <charset val="134"/>
            <scheme val="minor"/>
          </rPr>
          <t>DELL:
days total</t>
        </r>
      </text>
    </comment>
    <comment ref="F11" authorId="1" shapeId="0" xr:uid="{00000000-0006-0000-0000-000006000000}">
      <text>
        <r>
          <rPr>
            <sz val="11"/>
            <color theme="1"/>
            <rFont val="Calibri"/>
            <charset val="134"/>
            <scheme val="minor"/>
          </rPr>
          <t>DELL:
days total</t>
        </r>
      </text>
    </comment>
    <comment ref="I11" authorId="1" shapeId="0" xr:uid="{00000000-0006-0000-0000-000007000000}">
      <text>
        <r>
          <rPr>
            <sz val="11"/>
            <color theme="1"/>
            <rFont val="Calibri"/>
            <charset val="134"/>
            <scheme val="minor"/>
          </rPr>
          <t>DELL:
week total</t>
        </r>
      </text>
    </comment>
    <comment ref="N11" authorId="1" shapeId="0" xr:uid="{00000000-0006-0000-0000-000008000000}">
      <text>
        <r>
          <rPr>
            <sz val="11"/>
            <color theme="1"/>
            <rFont val="Calibri"/>
            <charset val="134"/>
            <scheme val="minor"/>
          </rPr>
          <t>DELL:
Last shift value of day</t>
        </r>
      </text>
    </comment>
    <comment ref="O11" authorId="1" shapeId="0" xr:uid="{00000000-0006-0000-0000-000009000000}">
      <text>
        <r>
          <rPr>
            <sz val="11"/>
            <color theme="1"/>
            <rFont val="Calibri"/>
            <charset val="134"/>
            <scheme val="minor"/>
          </rPr>
          <t>DELL:
last actual value of day</t>
        </r>
      </text>
    </comment>
    <comment ref="Q11" authorId="1" shapeId="0" xr:uid="{00000000-0006-0000-0000-00000A000000}">
      <text>
        <r>
          <rPr>
            <sz val="11"/>
            <color theme="1"/>
            <rFont val="Calibri"/>
            <charset val="134"/>
            <scheme val="minor"/>
          </rPr>
          <t>DELL:
month total</t>
        </r>
      </text>
    </comment>
    <comment ref="T11" authorId="1" shapeId="0" xr:uid="{00000000-0006-0000-0000-00000B000000}">
      <text>
        <r>
          <rPr>
            <sz val="11"/>
            <color theme="1"/>
            <rFont val="Calibri"/>
            <charset val="134"/>
            <scheme val="minor"/>
          </rPr>
          <t>DELL:
Year total</t>
        </r>
      </text>
    </comment>
    <comment ref="N18" authorId="1" shapeId="0" xr:uid="{00000000-0006-0000-0000-00000C000000}">
      <text>
        <r>
          <rPr>
            <sz val="11"/>
            <color theme="1"/>
            <rFont val="Calibri"/>
            <charset val="134"/>
            <scheme val="minor"/>
          </rPr>
          <t>DELL:
last actual value of day</t>
        </r>
      </text>
    </comment>
    <comment ref="D34" authorId="1" shapeId="0" xr:uid="{00000000-0006-0000-0000-00000D000000}">
      <text>
        <r>
          <rPr>
            <sz val="11"/>
            <color theme="1"/>
            <rFont val="Calibri"/>
            <charset val="134"/>
            <scheme val="minor"/>
          </rPr>
          <t>DELL:
shift start log value</t>
        </r>
      </text>
    </comment>
    <comment ref="E34" authorId="1" shapeId="0" xr:uid="{00000000-0006-0000-0000-00000E000000}">
      <text>
        <r>
          <rPr>
            <sz val="11"/>
            <color theme="1"/>
            <rFont val="Calibri"/>
            <charset val="134"/>
            <scheme val="minor"/>
          </rPr>
          <t>DELL:
shift start log value</t>
        </r>
      </text>
    </comment>
    <comment ref="F34" authorId="1" shapeId="0" xr:uid="{00000000-0006-0000-0000-00000F000000}">
      <text>
        <r>
          <rPr>
            <sz val="11"/>
            <color theme="1"/>
            <rFont val="Calibri"/>
            <charset val="134"/>
            <scheme val="minor"/>
          </rPr>
          <t>DELL:
shift start log value</t>
        </r>
      </text>
    </comment>
    <comment ref="G34" authorId="1" shapeId="0" xr:uid="{00000000-0006-0000-0000-000010000000}">
      <text>
        <r>
          <rPr>
            <sz val="11"/>
            <color theme="1"/>
            <rFont val="Calibri"/>
            <charset val="134"/>
            <scheme val="minor"/>
          </rPr>
          <t>DELL:
Shift time last log value</t>
        </r>
      </text>
    </comment>
    <comment ref="H34" authorId="1" shapeId="0" xr:uid="{00000000-0006-0000-0000-000011000000}">
      <text>
        <r>
          <rPr>
            <sz val="11"/>
            <color theme="1"/>
            <rFont val="Calibri"/>
            <charset val="134"/>
            <scheme val="minor"/>
          </rPr>
          <t>DELL:
Common Line plan down time last log</t>
        </r>
      </text>
    </comment>
    <comment ref="I34" authorId="1" shapeId="0" xr:uid="{00000000-0006-0000-0000-000012000000}">
      <text>
        <r>
          <rPr>
            <sz val="11"/>
            <color theme="1"/>
            <rFont val="Calibri"/>
            <charset val="134"/>
            <scheme val="minor"/>
          </rPr>
          <t>DELL:
production count last value log</t>
        </r>
      </text>
    </comment>
    <comment ref="J34" authorId="1" shapeId="0" xr:uid="{00000000-0006-0000-0000-000013000000}">
      <text>
        <r>
          <rPr>
            <sz val="11"/>
            <color theme="1"/>
            <rFont val="Calibri"/>
            <charset val="134"/>
            <scheme val="minor"/>
          </rPr>
          <t>DELL:
station availability log last value</t>
        </r>
      </text>
    </comment>
    <comment ref="Q34" authorId="1" shapeId="0" xr:uid="{00000000-0006-0000-0000-000014000000}">
      <text>
        <r>
          <rPr>
            <sz val="11"/>
            <color theme="1"/>
            <rFont val="Calibri"/>
            <charset val="134"/>
            <scheme val="minor"/>
          </rPr>
          <t>DELL:
Highest call min remark</t>
        </r>
      </text>
    </comment>
    <comment ref="T34" authorId="1" shapeId="0" xr:uid="{00000000-0006-0000-0000-000015000000}">
      <text>
        <r>
          <rPr>
            <sz val="11"/>
            <color theme="1"/>
            <rFont val="Calibri"/>
            <charset val="134"/>
            <scheme val="minor"/>
          </rPr>
          <t>DELL:
station availability log last value</t>
        </r>
      </text>
    </comment>
    <comment ref="A38" authorId="1" shapeId="0" xr:uid="{00000000-0006-0000-0000-000016000000}">
      <text>
        <r>
          <rPr>
            <sz val="11"/>
            <color theme="1"/>
            <rFont val="Calibri"/>
            <charset val="134"/>
            <scheme val="minor"/>
          </rPr>
          <t>DELL:
Fixed field</t>
        </r>
      </text>
    </comment>
    <comment ref="B38" authorId="1" shapeId="0" xr:uid="{00000000-0006-0000-0000-000017000000}">
      <text>
        <r>
          <rPr>
            <sz val="11"/>
            <color theme="1"/>
            <rFont val="Calibri"/>
            <charset val="134"/>
            <scheme val="minor"/>
          </rPr>
          <t>DELL:
Sum of prod loss min</t>
        </r>
      </text>
    </comment>
    <comment ref="C38" authorId="1" shapeId="0" xr:uid="{00000000-0006-0000-0000-000018000000}">
      <text>
        <r>
          <rPr>
            <sz val="11"/>
            <color theme="1"/>
            <rFont val="Calibri"/>
            <charset val="134"/>
            <scheme val="minor"/>
          </rPr>
          <t>DELL:
Sum of call loss min</t>
        </r>
      </text>
    </comment>
    <comment ref="H38" authorId="1" shapeId="0" xr:uid="{00000000-0006-0000-0000-000019000000}">
      <text>
        <r>
          <rPr>
            <sz val="11"/>
            <color theme="1"/>
            <rFont val="Calibri"/>
            <charset val="134"/>
            <scheme val="minor"/>
          </rPr>
          <t>DELL:
Highest call min remark</t>
        </r>
      </text>
    </comment>
    <comment ref="T38" authorId="1" shapeId="0" xr:uid="{00000000-0006-0000-0000-00001A000000}">
      <text>
        <r>
          <rPr>
            <sz val="11"/>
            <color theme="1"/>
            <rFont val="Calibri"/>
            <charset val="134"/>
            <scheme val="minor"/>
          </rPr>
          <t>DELL:
station availability log last value</t>
        </r>
      </text>
    </comment>
    <comment ref="E45" authorId="1" shapeId="0" xr:uid="{00000000-0006-0000-0000-00001B000000}">
      <text>
        <r>
          <rPr>
            <sz val="11"/>
            <color theme="1"/>
            <rFont val="Calibri"/>
            <charset val="134"/>
            <scheme val="minor"/>
          </rPr>
          <t>DELL:
Report generation date</t>
        </r>
      </text>
    </comment>
    <comment ref="E48" authorId="1" shapeId="0" xr:uid="{00000000-0006-0000-0000-00001C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F48" authorId="1" shapeId="0" xr:uid="{00000000-0006-0000-0000-00001D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G48" authorId="1" shapeId="0" xr:uid="{00000000-0006-0000-0000-00001E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H48" authorId="1" shapeId="0" xr:uid="{00000000-0006-0000-0000-00001F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I48" authorId="1" shapeId="0" xr:uid="{00000000-0006-0000-0000-000020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J48" authorId="1" shapeId="0" xr:uid="{00000000-0006-0000-0000-000021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K48" authorId="1" shapeId="0" xr:uid="{00000000-0006-0000-0000-000022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L48" authorId="1" shapeId="0" xr:uid="{00000000-0006-0000-0000-000023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M48" authorId="1" shapeId="0" xr:uid="{00000000-0006-0000-0000-000024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N48" authorId="1" shapeId="0" xr:uid="{00000000-0006-0000-0000-000025000000}">
      <text>
        <r>
          <rPr>
            <sz val="11"/>
            <color theme="1"/>
            <rFont val="Calibri"/>
            <charset val="134"/>
            <scheme val="minor"/>
          </rPr>
          <t>DELL:
Highest Call Value</t>
        </r>
      </text>
    </comment>
    <comment ref="O48" authorId="1" shapeId="0" xr:uid="{00000000-0006-0000-0000-000026000000}">
      <text>
        <r>
          <rPr>
            <sz val="11"/>
            <color theme="1"/>
            <rFont val="Calibri"/>
            <charset val="134"/>
            <scheme val="minor"/>
          </rPr>
          <t>DELL:
Highest value of chassis lline call reason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100-00000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Daily_C2_F2.</t>
        </r>
      </text>
    </comment>
    <comment ref="D2" authorId="0" shapeId="0" xr:uid="{00000000-0006-0000-0100-00000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Daily_C2_F2.</t>
        </r>
      </text>
    </comment>
    <comment ref="E2" authorId="0" shapeId="0" xr:uid="{00000000-0006-0000-0100-00000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Daily_C2_F2.</t>
        </r>
      </text>
    </comment>
    <comment ref="F2" authorId="0" shapeId="0" xr:uid="{00000000-0006-0000-0100-00000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Daily_C2_F2.</t>
        </r>
      </text>
    </comment>
    <comment ref="L2" authorId="0" shapeId="0" xr:uid="{00000000-0006-0000-0100-000005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{{total_working_days}} : total_working_days.
NAMED RANGE: Daily_L2_M2.</t>
        </r>
      </text>
    </comment>
    <comment ref="M2" authorId="0" shapeId="0" xr:uid="{00000000-0006-0000-0100-000006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{{working_days_left}} : working_days_left.
NAMED RANGE: Daily_L2_M2.</t>
        </r>
      </text>
    </comment>
    <comment ref="C3" authorId="0" shapeId="0" xr:uid="{00000000-0006-0000-0100-00000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Daily_C2_F2.</t>
        </r>
      </text>
    </comment>
    <comment ref="D3" authorId="0" shapeId="0" xr:uid="{00000000-0006-0000-0100-00000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Daily_C2_F2.</t>
        </r>
      </text>
    </comment>
    <comment ref="E3" authorId="0" shapeId="0" xr:uid="{00000000-0006-0000-0100-000009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Daily_C2_F2.</t>
        </r>
      </text>
    </comment>
    <comment ref="F3" authorId="0" shapeId="0" xr:uid="{00000000-0006-0000-0100-00000A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Daily_C2_F2.</t>
        </r>
      </text>
    </comment>
    <comment ref="L3" authorId="0" shapeId="0" xr:uid="{00000000-0006-0000-0100-00000B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{{total_working_days}} : total_working_days NAMED RANGE: Daily_L2_M2.</t>
        </r>
      </text>
    </comment>
    <comment ref="M3" authorId="0" shapeId="0" xr:uid="{00000000-0006-0000-0100-00000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{{working_days_left}} : working_days_left NAMED RANGE: Daily_L2_M2.</t>
        </r>
      </text>
    </comment>
    <comment ref="C12" authorId="0" shapeId="0" xr:uid="{00000000-0006-0000-0100-00000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Daily_C12_F12.</t>
        </r>
      </text>
    </comment>
    <comment ref="D12" authorId="0" shapeId="0" xr:uid="{00000000-0006-0000-0100-00000E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Daily_C12_F12.</t>
        </r>
      </text>
    </comment>
    <comment ref="E12" authorId="0" shapeId="0" xr:uid="{00000000-0006-0000-0100-00000F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Daily_C12_F12.</t>
        </r>
      </text>
    </comment>
    <comment ref="F12" authorId="0" shapeId="0" xr:uid="{00000000-0006-0000-0100-000010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Daily_C12_F12.</t>
        </r>
      </text>
    </comment>
    <comment ref="C13" authorId="0" shapeId="0" xr:uid="{00000000-0006-0000-0100-000011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Daily_C12_F12.</t>
        </r>
      </text>
    </comment>
    <comment ref="D13" authorId="0" shapeId="0" xr:uid="{00000000-0006-0000-0100-00001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Daily_C12_F12.</t>
        </r>
      </text>
    </comment>
    <comment ref="E13" authorId="0" shapeId="0" xr:uid="{00000000-0006-0000-0100-000013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Daily_C12_F12.</t>
        </r>
      </text>
    </comment>
    <comment ref="F13" authorId="0" shapeId="0" xr:uid="{00000000-0006-0000-0100-000014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Daily_C12_F12.</t>
        </r>
      </text>
    </comment>
    <comment ref="C21" authorId="0" shapeId="0" xr:uid="{00000000-0006-0000-0100-000015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Daily_C21_F21.</t>
        </r>
      </text>
    </comment>
    <comment ref="D21" authorId="0" shapeId="0" xr:uid="{00000000-0006-0000-0100-000016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Daily_C21_F21.</t>
        </r>
      </text>
    </comment>
    <comment ref="E21" authorId="0" shapeId="0" xr:uid="{00000000-0006-0000-0100-000017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Daily_C21_F21.</t>
        </r>
      </text>
    </comment>
    <comment ref="F21" authorId="0" shapeId="0" xr:uid="{00000000-0006-0000-0100-000018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Daily_C21_F21.</t>
        </r>
      </text>
    </comment>
    <comment ref="C22" authorId="0" shapeId="0" xr:uid="{00000000-0006-0000-0100-000019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Daily_C21_F21.</t>
        </r>
      </text>
    </comment>
    <comment ref="D22" authorId="0" shapeId="0" xr:uid="{00000000-0006-0000-0100-00001A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Daily_C21_F21.</t>
        </r>
      </text>
    </comment>
    <comment ref="E22" authorId="0" shapeId="0" xr:uid="{00000000-0006-0000-0100-00001B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Daily_C21_F21.</t>
        </r>
      </text>
    </comment>
    <comment ref="F22" authorId="0" shapeId="0" xr:uid="{00000000-0006-0000-0100-00001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Daily_C21_F21.</t>
        </r>
      </text>
    </comment>
    <comment ref="C31" authorId="0" shapeId="0" xr:uid="{00000000-0006-0000-0100-00001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Daily_C31_F31.</t>
        </r>
      </text>
    </comment>
    <comment ref="D31" authorId="0" shapeId="0" xr:uid="{00000000-0006-0000-0100-00001E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Daily_C31_F31.</t>
        </r>
      </text>
    </comment>
    <comment ref="E31" authorId="0" shapeId="0" xr:uid="{00000000-0006-0000-0100-00001F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Daily_C31_F31.</t>
        </r>
      </text>
    </comment>
    <comment ref="F31" authorId="0" shapeId="0" xr:uid="{00000000-0006-0000-0100-000020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Daily_C31_F31.</t>
        </r>
      </text>
    </comment>
    <comment ref="C32" authorId="0" shapeId="0" xr:uid="{00000000-0006-0000-0100-000021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Daily_C31_F31.</t>
        </r>
      </text>
    </comment>
    <comment ref="D32" authorId="0" shapeId="0" xr:uid="{00000000-0006-0000-0100-00002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Daily_C31_F31.</t>
        </r>
      </text>
    </comment>
    <comment ref="E32" authorId="0" shapeId="0" xr:uid="{00000000-0006-0000-0100-000023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Daily_C31_F31.</t>
        </r>
      </text>
    </comment>
    <comment ref="F32" authorId="0" shapeId="0" xr:uid="{00000000-0006-0000-0100-000024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Daily_C31_F31.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4" authorId="0" shapeId="0" xr:uid="{00000000-0006-0000-0200-00000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{{TypeOfCallText}} : TypeOfCallText.
NAMED RANGE: Line Stop_Prod Loss_B4_O4.</t>
        </r>
      </text>
    </comment>
    <comment ref="C4" authorId="0" shapeId="0" xr:uid="{00000000-0006-0000-0200-00000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Sub_Minutes}} : I-Puma Sub_Minutes.
NAMED RANGE: Line Stop_Prod Loss_B4_O4.</t>
        </r>
      </text>
    </comment>
    <comment ref="D4" authorId="0" shapeId="0" xr:uid="{00000000-0006-0000-0200-00000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Main_Minutes}} : I-Puma Main_Minutes.
NAMED RANGE: Line Stop_Prod Loss_B4_O4.</t>
        </r>
      </text>
    </comment>
    <comment ref="E4" authorId="0" shapeId="0" xr:uid="{00000000-0006-0000-0200-00000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Sub_Minutes}} : BIW Sub_Minutes.
NAMED RANGE: Line Stop_Prod Loss_B4_O4.</t>
        </r>
      </text>
    </comment>
    <comment ref="F4" authorId="0" shapeId="0" xr:uid="{00000000-0006-0000-0200-000005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Main_Minutes}} : BIW Main_Minutes.
NAMED RANGE: Line Stop_Prod Loss_B4_O4.</t>
        </r>
      </text>
    </comment>
    <comment ref="G4" authorId="0" shapeId="0" xr:uid="{00000000-0006-0000-0200-000006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{{Micky_Minutes}} : Micky_Minutes.
NAMED RANGE: Line Stop_Prod Loss_B4_O4.</t>
        </r>
      </text>
    </comment>
    <comment ref="H4" authorId="0" shapeId="0" xr:uid="{00000000-0006-0000-0200-000007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{{D+6_Minutes}} : D+6_Minutes.
NAMED RANGE: Line Stop_Prod Loss_B4_O4.</t>
        </r>
      </text>
    </comment>
    <comment ref="I4" authorId="0" shapeId="0" xr:uid="{00000000-0006-0000-0200-000008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{{Total_Minutes}} : Total_Minutes.
NAMED RANGE: Line Stop_Prod Loss_B4_O4.</t>
        </r>
      </text>
    </comment>
    <comment ref="J4" authorId="0" shapeId="0" xr:uid="{00000000-0006-0000-0200-00000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Sub_TopReason1}} : I-Puma Sub_TopReason1.
NAMED RANGE: Line Stop_Prod Loss_B4_O4.</t>
        </r>
      </text>
    </comment>
    <comment ref="K4" authorId="0" shapeId="0" xr:uid="{00000000-0006-0000-0200-00000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Main_TopReason1}} : I-Puma Main_TopReason1.
NAMED RANGE: Line Stop_Prod Loss_B4_O4.</t>
        </r>
      </text>
    </comment>
    <comment ref="L4" authorId="0" shapeId="0" xr:uid="{00000000-0006-0000-0200-00000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Sub_TopReason1}} : BIW Sub_TopReason1.
NAMED RANGE: Line Stop_Prod Loss_B4_O4.</t>
        </r>
      </text>
    </comment>
    <comment ref="M4" authorId="0" shapeId="0" xr:uid="{00000000-0006-0000-0200-00000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Main_TopReason1}} : BIW Main_TopReason1.
NAMED RANGE: Line Stop_Prod Loss_B4_O4.</t>
        </r>
      </text>
    </comment>
    <comment ref="N4" authorId="0" shapeId="0" xr:uid="{00000000-0006-0000-0200-00000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{{Micky_TopReason1}} : Micky_TopReason1.
NAMED RANGE: Line Stop_Prod Loss_B4_O4.</t>
        </r>
      </text>
    </comment>
    <comment ref="O4" authorId="0" shapeId="0" xr:uid="{00000000-0006-0000-0200-00000E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{{D+6_TopReason1}} : D+6_TopReason1.
NAMED RANGE: Line Stop_Prod Loss_B4_O4.</t>
        </r>
      </text>
    </comment>
    <comment ref="B5" authorId="0" shapeId="0" xr:uid="{00000000-0006-0000-0200-00000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{{TypeOfCallText}} : TypeOfCallText NAMED RANGE: Line Stop_Prod Loss_B4_O4.</t>
        </r>
      </text>
    </comment>
    <comment ref="C5" authorId="0" shapeId="0" xr:uid="{00000000-0006-0000-0200-00001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Sub_Minutes}} : I-Puma Sub_Minutes NAMED RANGE: Line Stop_Prod Loss_B4_O4.</t>
        </r>
      </text>
    </comment>
    <comment ref="D5" authorId="0" shapeId="0" xr:uid="{00000000-0006-0000-0200-000011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Main_Minutes}} : I-Puma Main_Minutes NAMED RANGE: Line Stop_Prod Loss_B4_O4.</t>
        </r>
      </text>
    </comment>
    <comment ref="E5" authorId="0" shapeId="0" xr:uid="{00000000-0006-0000-0200-00001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Sub_Minutes}} : BIW Sub_Minutes NAMED RANGE: Line Stop_Prod Loss_B4_O4.</t>
        </r>
      </text>
    </comment>
    <comment ref="F5" authorId="0" shapeId="0" xr:uid="{00000000-0006-0000-0200-000013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Main_Minutes}} : BIW Main_Minutes NAMED RANGE: Line Stop_Prod Loss_B4_O4.</t>
        </r>
      </text>
    </comment>
    <comment ref="G5" authorId="0" shapeId="0" xr:uid="{00000000-0006-0000-0200-000014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{{Micky_Minutes}} : Micky_Minutes NAMED RANGE: Line Stop_Prod Loss_B4_O4.</t>
        </r>
      </text>
    </comment>
    <comment ref="H5" authorId="0" shapeId="0" xr:uid="{00000000-0006-0000-0200-00001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{{D+6_Minutes}} : D+6_Minutes NAMED RANGE: Line Stop_Prod Loss_B4_O4.</t>
        </r>
      </text>
    </comment>
    <comment ref="I5" authorId="0" shapeId="0" xr:uid="{00000000-0006-0000-0200-00001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{{Total_Minutes}} : Total_Minutes NAMED RANGE: Line Stop_Prod Loss_B4_O4.</t>
        </r>
      </text>
    </comment>
    <comment ref="J5" authorId="0" shapeId="0" xr:uid="{00000000-0006-0000-0200-00001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Sub_TopReason1}} : I-Puma Sub_TopReason1 NAMED RANGE: Line Stop_Prod Loss_B4_O4.</t>
        </r>
      </text>
    </comment>
    <comment ref="K5" authorId="0" shapeId="0" xr:uid="{00000000-0006-0000-0200-00001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Main_TopReason1}} : I-Puma Main_TopReason1 NAMED RANGE: Line Stop_Prod Loss_B4_O4.</t>
        </r>
      </text>
    </comment>
    <comment ref="L5" authorId="0" shapeId="0" xr:uid="{00000000-0006-0000-0200-000019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Sub_TopReason1}} : BIW Sub_TopReason1 NAMED RANGE: Line Stop_Prod Loss_B4_O4.</t>
        </r>
      </text>
    </comment>
    <comment ref="M5" authorId="0" shapeId="0" xr:uid="{00000000-0006-0000-0200-00001A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Main_TopReason1}} : BIW Main_TopReason1 NAMED RANGE: Line Stop_Prod Loss_B4_O4.</t>
        </r>
      </text>
    </comment>
    <comment ref="N5" authorId="0" shapeId="0" xr:uid="{00000000-0006-0000-0200-00001B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{{Micky_TopReason1}} : Micky_TopReason1 NAMED RANGE: Line Stop_Prod Loss_B4_O4.</t>
        </r>
      </text>
    </comment>
    <comment ref="O5" authorId="0" shapeId="0" xr:uid="{00000000-0006-0000-0200-00001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{{D+6_TopReason1}} : D+6_TopReason1 NAMED RANGE: Line Stop_Prod Loss_B4_O4.</t>
        </r>
      </text>
    </comment>
    <comment ref="B23" authorId="0" shapeId="0" xr:uid="{00000000-0006-0000-0200-00001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{{TypeOfCallText}} : TypeOfCallText.
NAMED RANGE: Line Stop_Prod Loss_B23_O23.</t>
        </r>
      </text>
    </comment>
    <comment ref="C23" authorId="0" shapeId="0" xr:uid="{00000000-0006-0000-0200-00001E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Sub_Minutes}} : I-Puma Sub_Minutes.
NAMED RANGE: Line Stop_Prod Loss_B23_O23.</t>
        </r>
      </text>
    </comment>
    <comment ref="D23" authorId="0" shapeId="0" xr:uid="{00000000-0006-0000-0200-00001F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Main_Minutes}} : I-Puma Main_Minutes.
NAMED RANGE: Line Stop_Prod Loss_B23_O23.</t>
        </r>
      </text>
    </comment>
    <comment ref="E23" authorId="0" shapeId="0" xr:uid="{00000000-0006-0000-0200-000020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Sub_Minutes}} : BIW Sub_Minutes.
NAMED RANGE: Line Stop_Prod Loss_B23_O23.</t>
        </r>
      </text>
    </comment>
    <comment ref="F23" authorId="0" shapeId="0" xr:uid="{00000000-0006-0000-0200-00002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Main_Minutes}} : BIW Main_Minutes.
NAMED RANGE: Line Stop_Prod Loss_B23_O23.</t>
        </r>
      </text>
    </comment>
    <comment ref="G23" authorId="0" shapeId="0" xr:uid="{00000000-0006-0000-0200-00002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{{Micky_Minutes}} : Micky_Minutes.
NAMED RANGE: Line Stop_Prod Loss_B23_O23.</t>
        </r>
      </text>
    </comment>
    <comment ref="H23" authorId="0" shapeId="0" xr:uid="{00000000-0006-0000-0200-00002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{{D+6_Minutes}} : D+6_Minutes.
NAMED RANGE: Line Stop_Prod Loss_B23_O23.</t>
        </r>
      </text>
    </comment>
    <comment ref="I23" authorId="0" shapeId="0" xr:uid="{00000000-0006-0000-0200-00002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{{Total_Minutes}} : Total_Minutes.
NAMED RANGE: Line Stop_Prod Loss_B23_O23.</t>
        </r>
      </text>
    </comment>
    <comment ref="J23" authorId="0" shapeId="0" xr:uid="{00000000-0006-0000-0200-000025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Sub_TopReason1}} : I-Puma Sub_TopReason1.
NAMED RANGE: Line Stop_Prod Loss_B23_O23.</t>
        </r>
      </text>
    </comment>
    <comment ref="K23" authorId="0" shapeId="0" xr:uid="{00000000-0006-0000-0200-000026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Main_TopReason1}} : I-Puma Main_TopReason1.
NAMED RANGE: Line Stop_Prod Loss_B23_O23.</t>
        </r>
      </text>
    </comment>
    <comment ref="L23" authorId="0" shapeId="0" xr:uid="{00000000-0006-0000-0200-000027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Sub_TopReason1}} : BIW Sub_TopReason1.
NAMED RANGE: Line Stop_Prod Loss_B23_O23.</t>
        </r>
      </text>
    </comment>
    <comment ref="M23" authorId="0" shapeId="0" xr:uid="{00000000-0006-0000-0200-000028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Main_TopReason1}} : BIW Main_TopReason1.
NAMED RANGE: Line Stop_Prod Loss_B23_O23.</t>
        </r>
      </text>
    </comment>
    <comment ref="N23" authorId="0" shapeId="0" xr:uid="{00000000-0006-0000-0200-00002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{{Micky_TopReason1}} : Micky_TopReason1.
NAMED RANGE: Line Stop_Prod Loss_B23_O23.</t>
        </r>
      </text>
    </comment>
    <comment ref="O23" authorId="0" shapeId="0" xr:uid="{00000000-0006-0000-0200-00002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{{D+6_TopReason1}} : D+6_TopReason1.
NAMED RANGE: Line Stop_Prod Loss_B23_O23.</t>
        </r>
      </text>
    </comment>
    <comment ref="B24" authorId="0" shapeId="0" xr:uid="{00000000-0006-0000-0200-00002B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{{TypeOfCallText}} : TypeOfCallText NAMED RANGE: Line Stop_Prod Loss_B23_O23.</t>
        </r>
      </text>
    </comment>
    <comment ref="C24" authorId="0" shapeId="0" xr:uid="{00000000-0006-0000-0200-00002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Sub_Minutes}} : I-Puma Sub_Minutes NAMED RANGE: Line Stop_Prod Loss_B23_O23.</t>
        </r>
      </text>
    </comment>
    <comment ref="D24" authorId="0" shapeId="0" xr:uid="{00000000-0006-0000-0200-00002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Main_Minutes}} : I-Puma Main_Minutes NAMED RANGE: Line Stop_Prod Loss_B23_O23.</t>
        </r>
      </text>
    </comment>
    <comment ref="E24" authorId="0" shapeId="0" xr:uid="{00000000-0006-0000-0200-00002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Sub_Minutes}} : BIW Sub_Minutes NAMED RANGE: Line Stop_Prod Loss_B23_O23.</t>
        </r>
      </text>
    </comment>
    <comment ref="F24" authorId="0" shapeId="0" xr:uid="{00000000-0006-0000-0200-00002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Main_Minutes}} : BIW Main_Minutes NAMED RANGE: Line Stop_Prod Loss_B23_O23.</t>
        </r>
      </text>
    </comment>
    <comment ref="G24" authorId="0" shapeId="0" xr:uid="{00000000-0006-0000-0200-00003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{{Micky_Minutes}} : Micky_Minutes NAMED RANGE: Line Stop_Prod Loss_B23_O23.</t>
        </r>
      </text>
    </comment>
    <comment ref="H24" authorId="0" shapeId="0" xr:uid="{00000000-0006-0000-0200-000031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{{D+6_Minutes}} : D+6_Minutes NAMED RANGE: Line Stop_Prod Loss_B23_O23.</t>
        </r>
      </text>
    </comment>
    <comment ref="I24" authorId="0" shapeId="0" xr:uid="{00000000-0006-0000-0200-00003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{{Total_Minutes}} : Total_Minutes NAMED RANGE: Line Stop_Prod Loss_B23_O23.</t>
        </r>
      </text>
    </comment>
    <comment ref="J24" authorId="0" shapeId="0" xr:uid="{00000000-0006-0000-0200-000033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Sub_TopReason1}} : I-Puma Sub_TopReason1 NAMED RANGE: Line Stop_Prod Loss_B23_O23.</t>
        </r>
      </text>
    </comment>
    <comment ref="K24" authorId="0" shapeId="0" xr:uid="{00000000-0006-0000-0200-000034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Main_TopReason1}} : I-Puma Main_TopReason1 NAMED RANGE: Line Stop_Prod Loss_B23_O23.</t>
        </r>
      </text>
    </comment>
    <comment ref="L24" authorId="0" shapeId="0" xr:uid="{00000000-0006-0000-0200-00003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Sub_TopReason1}} : BIW Sub_TopReason1 NAMED RANGE: Line Stop_Prod Loss_B23_O23.</t>
        </r>
      </text>
    </comment>
    <comment ref="M24" authorId="0" shapeId="0" xr:uid="{00000000-0006-0000-0200-00003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Main_TopReason1}} : BIW Main_TopReason1 NAMED RANGE: Line Stop_Prod Loss_B23_O23.</t>
        </r>
      </text>
    </comment>
    <comment ref="N24" authorId="0" shapeId="0" xr:uid="{00000000-0006-0000-0200-00003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{{Micky_TopReason1}} : Micky_TopReason1 NAMED RANGE: Line Stop_Prod Loss_B23_O23.</t>
        </r>
      </text>
    </comment>
    <comment ref="O24" authorId="0" shapeId="0" xr:uid="{00000000-0006-0000-0200-00003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{{D+6_TopReason1}} : D+6_TopReason1 NAMED RANGE: Line Stop_Prod Loss_B23_O23.</t>
        </r>
      </text>
    </comment>
    <comment ref="B43" authorId="0" shapeId="0" xr:uid="{00000000-0006-0000-0200-00003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{{Shift}} : Shift.
NAMED RANGE: Line Stop_Prod Loss_B43_M43.</t>
        </r>
      </text>
    </comment>
    <comment ref="C43" authorId="0" shapeId="0" xr:uid="{00000000-0006-0000-0200-00003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{{ShiftStart}} : ShiftStart.
NAMED RANGE: Line Stop_Prod Loss_B43_M43.</t>
        </r>
      </text>
    </comment>
    <comment ref="D43" authorId="0" shapeId="0" xr:uid="{00000000-0006-0000-0200-00003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{{ShiftEnd}} : ShiftEnd.
NAMED RANGE: Line Stop_Prod Loss_B43_M43.</t>
        </r>
      </text>
    </comment>
    <comment ref="E43" authorId="0" shapeId="0" xr:uid="{00000000-0006-0000-0200-00003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{{ProdCount}} : ProdCount.
NAMED RANGE: Line Stop_Prod Loss_B43_M43.</t>
        </r>
      </text>
    </comment>
    <comment ref="F43" authorId="0" shapeId="0" xr:uid="{00000000-0006-0000-0200-00003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{{ProdLoss}} : ProdLoss.
NAMED RANGE: Line Stop_Prod Loss_B43_M43.</t>
        </r>
      </text>
    </comment>
    <comment ref="G43" authorId="0" shapeId="0" xr:uid="{00000000-0006-0000-0200-00003E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{{ShiftTime}} : ShiftTime.
NAMED RANGE: Line Stop_Prod Loss_B43_M43.</t>
        </r>
      </text>
    </comment>
    <comment ref="H43" authorId="0" shapeId="0" xr:uid="{00000000-0006-0000-0200-00003F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{{BreakTime}} : BreakTime.
NAMED RANGE: Line Stop_Prod Loss_B43_M43.</t>
        </r>
      </text>
    </comment>
    <comment ref="I43" authorId="0" shapeId="0" xr:uid="{00000000-0006-0000-0200-000040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{{LinePause}} : LinePause.
NAMED RANGE: Line Stop_Prod Loss_B43_M43.</t>
        </r>
      </text>
    </comment>
    <comment ref="J43" authorId="0" shapeId="0" xr:uid="{00000000-0006-0000-0200-00004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{{DownTime}} : DownTime.
NAMED RANGE: Line Stop_Prod Loss_B43_M43.</t>
        </r>
      </text>
    </comment>
    <comment ref="K43" authorId="0" shapeId="0" xr:uid="{00000000-0006-0000-0200-00004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{{ShiftWorkingTime}} : ShiftWorkingTime.
NAMED RANGE: Line Stop_Prod Loss_B43_M43.</t>
        </r>
      </text>
    </comment>
    <comment ref="L43" authorId="0" shapeId="0" xr:uid="{00000000-0006-0000-0200-00004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{{OEE}} : OEE.
NAMED RANGE: Line Stop_Prod Loss_B43_M43.</t>
        </r>
      </text>
    </comment>
    <comment ref="M43" authorId="0" shapeId="0" xr:uid="{00000000-0006-0000-0200-00004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{{DT}} : DT.
NAMED RANGE: Line Stop_Prod Loss_B43_M43.</t>
        </r>
      </text>
    </comment>
    <comment ref="B44" authorId="0" shapeId="0" xr:uid="{00000000-0006-0000-0200-00004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{{Shift}} : Shift NAMED RANGE: Line Stop_Prod Loss_B43_M43.</t>
        </r>
      </text>
    </comment>
    <comment ref="C44" authorId="0" shapeId="0" xr:uid="{00000000-0006-0000-0200-00004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{{ShiftStart}} : ShiftStart NAMED RANGE: Line Stop_Prod Loss_B43_M43.</t>
        </r>
      </text>
    </comment>
    <comment ref="D44" authorId="0" shapeId="0" xr:uid="{00000000-0006-0000-0200-00004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{{ShiftEnd}} : ShiftEnd NAMED RANGE: Line Stop_Prod Loss_B43_M43.</t>
        </r>
      </text>
    </comment>
    <comment ref="E44" authorId="0" shapeId="0" xr:uid="{00000000-0006-0000-0200-00004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{{ProdCount}} : ProdCount NAMED RANGE: Line Stop_Prod Loss_B43_M43.</t>
        </r>
      </text>
    </comment>
    <comment ref="F44" authorId="0" shapeId="0" xr:uid="{00000000-0006-0000-0200-000049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{{ProdLoss}} : ProdLoss NAMED RANGE: Line Stop_Prod Loss_B43_M43.</t>
        </r>
      </text>
    </comment>
    <comment ref="G44" authorId="0" shapeId="0" xr:uid="{00000000-0006-0000-0200-00004A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{{ShiftTime}} : ShiftTime NAMED RANGE: Line Stop_Prod Loss_B43_M43.</t>
        </r>
      </text>
    </comment>
    <comment ref="H44" authorId="0" shapeId="0" xr:uid="{00000000-0006-0000-0200-00004B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{{BreakTime}} : BreakTime NAMED RANGE: Line Stop_Prod Loss_B43_M43.</t>
        </r>
      </text>
    </comment>
    <comment ref="I44" authorId="0" shapeId="0" xr:uid="{00000000-0006-0000-0200-00004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{{LinePause}} : LinePause NAMED RANGE: Line Stop_Prod Loss_B43_M43.</t>
        </r>
      </text>
    </comment>
    <comment ref="J44" authorId="0" shapeId="0" xr:uid="{00000000-0006-0000-0200-00004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{{DownTime}} : DownTime NAMED RANGE: Line Stop_Prod Loss_B43_M43.</t>
        </r>
      </text>
    </comment>
    <comment ref="K44" authorId="0" shapeId="0" xr:uid="{00000000-0006-0000-0200-00004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{{ShiftWorkingTime}} : ShiftWorkingTime NAMED RANGE: Line Stop_Prod Loss_B43_M43.</t>
        </r>
      </text>
    </comment>
    <comment ref="L44" authorId="0" shapeId="0" xr:uid="{00000000-0006-0000-0200-00004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{{OEE}} : OEE NAMED RANGE: Line Stop_Prod Loss_B43_M43.</t>
        </r>
      </text>
    </comment>
    <comment ref="M44" authorId="0" shapeId="0" xr:uid="{00000000-0006-0000-0200-00005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{{DT}} : DT NAMED RANGE: Line Stop_Prod Loss_B43_M43.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300-00000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Weely_C2_M2.</t>
        </r>
      </text>
    </comment>
    <comment ref="D2" authorId="0" shapeId="0" xr:uid="{00000000-0006-0000-0300-00000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Weely_C2_M2.</t>
        </r>
      </text>
    </comment>
    <comment ref="E2" authorId="0" shapeId="0" xr:uid="{00000000-0006-0000-0300-00000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Weely_C2_M2.</t>
        </r>
      </text>
    </comment>
    <comment ref="F2" authorId="0" shapeId="0" xr:uid="{00000000-0006-0000-0300-00000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Weely_C2_M2.</t>
        </r>
      </text>
    </comment>
    <comment ref="G2" authorId="0" shapeId="0" xr:uid="{00000000-0006-0000-0300-000005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Weely_C2_M2.</t>
        </r>
      </text>
    </comment>
    <comment ref="H2" authorId="0" shapeId="0" xr:uid="{00000000-0006-0000-0300-000006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Weely_C2_M2.</t>
        </r>
      </text>
    </comment>
    <comment ref="I2" authorId="0" shapeId="0" xr:uid="{00000000-0006-0000-0300-000007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Weely_C2_M2.</t>
        </r>
      </text>
    </comment>
    <comment ref="J2" authorId="0" shapeId="0" xr:uid="{00000000-0006-0000-0300-000008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Weely_C2_M2.</t>
        </r>
      </text>
    </comment>
    <comment ref="K2" authorId="0" shapeId="0" xr:uid="{00000000-0006-0000-0300-00000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Weely_C2_M2.</t>
        </r>
      </text>
    </comment>
    <comment ref="L2" authorId="0" shapeId="0" xr:uid="{00000000-0006-0000-0300-00000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Weely_C2_M2.</t>
        </r>
      </text>
    </comment>
    <comment ref="M2" authorId="0" shapeId="0" xr:uid="{00000000-0006-0000-0300-00000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Weely_C2_M2.</t>
        </r>
      </text>
    </comment>
    <comment ref="C3" authorId="0" shapeId="0" xr:uid="{00000000-0006-0000-0300-00000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Weely_C2_M2.</t>
        </r>
      </text>
    </comment>
    <comment ref="D3" authorId="0" shapeId="0" xr:uid="{00000000-0006-0000-0300-00000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Weely_C2_M2.</t>
        </r>
      </text>
    </comment>
    <comment ref="E3" authorId="0" shapeId="0" xr:uid="{00000000-0006-0000-0300-00000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Weely_C2_M2.</t>
        </r>
      </text>
    </comment>
    <comment ref="F3" authorId="0" shapeId="0" xr:uid="{00000000-0006-0000-0300-00000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Weely_C2_M2.</t>
        </r>
      </text>
    </comment>
    <comment ref="G3" authorId="0" shapeId="0" xr:uid="{00000000-0006-0000-0300-00001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Weely_C2_M2.</t>
        </r>
      </text>
    </comment>
    <comment ref="H3" authorId="0" shapeId="0" xr:uid="{00000000-0006-0000-0300-000011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Weely_C2_M2.</t>
        </r>
      </text>
    </comment>
    <comment ref="I3" authorId="0" shapeId="0" xr:uid="{00000000-0006-0000-0300-00001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Weely_C2_M2.</t>
        </r>
      </text>
    </comment>
    <comment ref="J3" authorId="0" shapeId="0" xr:uid="{00000000-0006-0000-0300-000013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Weely_C2_M2.</t>
        </r>
      </text>
    </comment>
    <comment ref="K3" authorId="0" shapeId="0" xr:uid="{00000000-0006-0000-0300-000014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Weely_C2_M2.</t>
        </r>
      </text>
    </comment>
    <comment ref="L3" authorId="0" shapeId="0" xr:uid="{00000000-0006-0000-0300-00001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Weely_C2_M2.</t>
        </r>
      </text>
    </comment>
    <comment ref="M3" authorId="0" shapeId="0" xr:uid="{00000000-0006-0000-0300-00001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Weely_C2_M2.</t>
        </r>
      </text>
    </comment>
    <comment ref="C11" authorId="0" shapeId="0" xr:uid="{00000000-0006-0000-0300-000017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Weely_C11_M11.</t>
        </r>
      </text>
    </comment>
    <comment ref="D11" authorId="0" shapeId="0" xr:uid="{00000000-0006-0000-0300-000018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Weely_C11_M11.</t>
        </r>
      </text>
    </comment>
    <comment ref="E11" authorId="0" shapeId="0" xr:uid="{00000000-0006-0000-0300-00001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Weely_C11_M11.</t>
        </r>
      </text>
    </comment>
    <comment ref="F11" authorId="0" shapeId="0" xr:uid="{00000000-0006-0000-0300-00001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Weely_C11_M11.</t>
        </r>
      </text>
    </comment>
    <comment ref="G11" authorId="0" shapeId="0" xr:uid="{00000000-0006-0000-0300-00001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Weely_C11_M11.</t>
        </r>
      </text>
    </comment>
    <comment ref="H11" authorId="0" shapeId="0" xr:uid="{00000000-0006-0000-0300-00001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Weely_C11_M11.</t>
        </r>
      </text>
    </comment>
    <comment ref="I11" authorId="0" shapeId="0" xr:uid="{00000000-0006-0000-0300-00001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Weely_C11_M11.</t>
        </r>
      </text>
    </comment>
    <comment ref="J11" authorId="0" shapeId="0" xr:uid="{00000000-0006-0000-0300-00001E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Weely_C11_M11.</t>
        </r>
      </text>
    </comment>
    <comment ref="K11" authorId="0" shapeId="0" xr:uid="{00000000-0006-0000-0300-00001F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Weely_C11_M11.</t>
        </r>
      </text>
    </comment>
    <comment ref="L11" authorId="0" shapeId="0" xr:uid="{00000000-0006-0000-0300-000020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Weely_C11_M11.</t>
        </r>
      </text>
    </comment>
    <comment ref="M11" authorId="0" shapeId="0" xr:uid="{00000000-0006-0000-0300-00002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Weely_C11_M11.</t>
        </r>
      </text>
    </comment>
    <comment ref="C12" authorId="0" shapeId="0" xr:uid="{00000000-0006-0000-0300-00002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Weely_C11_M11.</t>
        </r>
      </text>
    </comment>
    <comment ref="D12" authorId="0" shapeId="0" xr:uid="{00000000-0006-0000-0300-000023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Weely_C11_M11.</t>
        </r>
      </text>
    </comment>
    <comment ref="E12" authorId="0" shapeId="0" xr:uid="{00000000-0006-0000-0300-000024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Weely_C11_M11.</t>
        </r>
      </text>
    </comment>
    <comment ref="F12" authorId="0" shapeId="0" xr:uid="{00000000-0006-0000-0300-00002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Weely_C11_M11.</t>
        </r>
      </text>
    </comment>
    <comment ref="G12" authorId="0" shapeId="0" xr:uid="{00000000-0006-0000-0300-00002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Weely_C11_M11.</t>
        </r>
      </text>
    </comment>
    <comment ref="H12" authorId="0" shapeId="0" xr:uid="{00000000-0006-0000-0300-00002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Weely_C11_M11.</t>
        </r>
      </text>
    </comment>
    <comment ref="I12" authorId="0" shapeId="0" xr:uid="{00000000-0006-0000-0300-00002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Weely_C11_M11.</t>
        </r>
      </text>
    </comment>
    <comment ref="J12" authorId="0" shapeId="0" xr:uid="{00000000-0006-0000-0300-000029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Weely_C11_M11.</t>
        </r>
      </text>
    </comment>
    <comment ref="K12" authorId="0" shapeId="0" xr:uid="{00000000-0006-0000-0300-00002A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Weely_C11_M11.</t>
        </r>
      </text>
    </comment>
    <comment ref="L12" authorId="0" shapeId="0" xr:uid="{00000000-0006-0000-0300-00002B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Weely_C11_M11.</t>
        </r>
      </text>
    </comment>
    <comment ref="M12" authorId="0" shapeId="0" xr:uid="{00000000-0006-0000-0300-00002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Weely_C11_M11.</t>
        </r>
      </text>
    </comment>
    <comment ref="C21" authorId="0" shapeId="0" xr:uid="{00000000-0006-0000-0300-00002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Weely_C21_M21.</t>
        </r>
      </text>
    </comment>
    <comment ref="D21" authorId="0" shapeId="0" xr:uid="{00000000-0006-0000-0300-00002E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Weely_C21_M21.</t>
        </r>
      </text>
    </comment>
    <comment ref="E21" authorId="0" shapeId="0" xr:uid="{00000000-0006-0000-0300-00002F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Weely_C21_M21.</t>
        </r>
      </text>
    </comment>
    <comment ref="F21" authorId="0" shapeId="0" xr:uid="{00000000-0006-0000-0300-000030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Weely_C21_M21.</t>
        </r>
      </text>
    </comment>
    <comment ref="G21" authorId="0" shapeId="0" xr:uid="{00000000-0006-0000-0300-00003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Weely_C21_M21.</t>
        </r>
      </text>
    </comment>
    <comment ref="H21" authorId="0" shapeId="0" xr:uid="{00000000-0006-0000-0300-00003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Weely_C21_M21.</t>
        </r>
      </text>
    </comment>
    <comment ref="I21" authorId="0" shapeId="0" xr:uid="{00000000-0006-0000-0300-00003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Weely_C21_M21.</t>
        </r>
      </text>
    </comment>
    <comment ref="J21" authorId="0" shapeId="0" xr:uid="{00000000-0006-0000-0300-00003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Weely_C21_M21.</t>
        </r>
      </text>
    </comment>
    <comment ref="K21" authorId="0" shapeId="0" xr:uid="{00000000-0006-0000-0300-000035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Weely_C21_M21.</t>
        </r>
      </text>
    </comment>
    <comment ref="L21" authorId="0" shapeId="0" xr:uid="{00000000-0006-0000-0300-000036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Weely_C21_M21.</t>
        </r>
      </text>
    </comment>
    <comment ref="M21" authorId="0" shapeId="0" xr:uid="{00000000-0006-0000-0300-000037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Weely_C21_M21.</t>
        </r>
      </text>
    </comment>
    <comment ref="C22" authorId="0" shapeId="0" xr:uid="{00000000-0006-0000-0300-00003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Weely_C21_M21.</t>
        </r>
      </text>
    </comment>
    <comment ref="D22" authorId="0" shapeId="0" xr:uid="{00000000-0006-0000-0300-000039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Weely_C21_M21.</t>
        </r>
      </text>
    </comment>
    <comment ref="E22" authorId="0" shapeId="0" xr:uid="{00000000-0006-0000-0300-00003A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Weely_C21_M21.</t>
        </r>
      </text>
    </comment>
    <comment ref="F22" authorId="0" shapeId="0" xr:uid="{00000000-0006-0000-0300-00003B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Weely_C21_M21.</t>
        </r>
      </text>
    </comment>
    <comment ref="G22" authorId="0" shapeId="0" xr:uid="{00000000-0006-0000-0300-00003C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Weely_C21_M21.</t>
        </r>
      </text>
    </comment>
    <comment ref="H22" authorId="0" shapeId="0" xr:uid="{00000000-0006-0000-0300-00003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Weely_C21_M21.</t>
        </r>
      </text>
    </comment>
    <comment ref="I22" authorId="0" shapeId="0" xr:uid="{00000000-0006-0000-0300-00003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Weely_C21_M21.</t>
        </r>
      </text>
    </comment>
    <comment ref="J22" authorId="0" shapeId="0" xr:uid="{00000000-0006-0000-0300-00003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Weely_C21_M21.</t>
        </r>
      </text>
    </comment>
    <comment ref="K22" authorId="0" shapeId="0" xr:uid="{00000000-0006-0000-0300-00004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Weely_C21_M21.</t>
        </r>
      </text>
    </comment>
    <comment ref="L22" authorId="0" shapeId="0" xr:uid="{00000000-0006-0000-0300-000041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Weely_C21_M21.</t>
        </r>
      </text>
    </comment>
    <comment ref="M22" authorId="0" shapeId="0" xr:uid="{00000000-0006-0000-0300-00004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Weely_C21_M21.</t>
        </r>
      </text>
    </comment>
    <comment ref="C31" authorId="0" shapeId="0" xr:uid="{00000000-0006-0000-0300-00004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Weely_C31_M31.</t>
        </r>
      </text>
    </comment>
    <comment ref="D31" authorId="0" shapeId="0" xr:uid="{00000000-0006-0000-0300-00004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Weely_C31_M31.</t>
        </r>
      </text>
    </comment>
    <comment ref="E31" authorId="0" shapeId="0" xr:uid="{00000000-0006-0000-0300-000045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Weely_C31_M31.</t>
        </r>
      </text>
    </comment>
    <comment ref="F31" authorId="0" shapeId="0" xr:uid="{00000000-0006-0000-0300-000046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Weely_C31_M31.</t>
        </r>
      </text>
    </comment>
    <comment ref="G31" authorId="0" shapeId="0" xr:uid="{00000000-0006-0000-0300-000047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Weely_C31_M31.</t>
        </r>
      </text>
    </comment>
    <comment ref="H31" authorId="0" shapeId="0" xr:uid="{00000000-0006-0000-0300-000048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Weely_C31_M31.</t>
        </r>
      </text>
    </comment>
    <comment ref="I31" authorId="0" shapeId="0" xr:uid="{00000000-0006-0000-0300-00004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Weely_C31_M31.</t>
        </r>
      </text>
    </comment>
    <comment ref="J31" authorId="0" shapeId="0" xr:uid="{00000000-0006-0000-0300-00004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Weely_C31_M31.</t>
        </r>
      </text>
    </comment>
    <comment ref="K31" authorId="0" shapeId="0" xr:uid="{00000000-0006-0000-0300-00004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Weely_C31_M31.</t>
        </r>
      </text>
    </comment>
    <comment ref="L31" authorId="0" shapeId="0" xr:uid="{00000000-0006-0000-0300-00004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Weely_C31_M31.</t>
        </r>
      </text>
    </comment>
    <comment ref="M31" authorId="0" shapeId="0" xr:uid="{00000000-0006-0000-0300-00004D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Weely_C31_M31.</t>
        </r>
      </text>
    </comment>
    <comment ref="C32" authorId="0" shapeId="0" xr:uid="{00000000-0006-0000-0300-00004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Weely_C31_M31.</t>
        </r>
      </text>
    </comment>
    <comment ref="D32" authorId="0" shapeId="0" xr:uid="{00000000-0006-0000-0300-00004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Weely_C31_M31.</t>
        </r>
      </text>
    </comment>
    <comment ref="E32" authorId="0" shapeId="0" xr:uid="{00000000-0006-0000-0300-00005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Weely_C31_M31.</t>
        </r>
      </text>
    </comment>
    <comment ref="F32" authorId="0" shapeId="0" xr:uid="{00000000-0006-0000-0300-000051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Weely_C31_M31.</t>
        </r>
      </text>
    </comment>
    <comment ref="G32" authorId="0" shapeId="0" xr:uid="{00000000-0006-0000-0300-000052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Weely_C31_M31.</t>
        </r>
      </text>
    </comment>
    <comment ref="H32" authorId="0" shapeId="0" xr:uid="{00000000-0006-0000-0300-000053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Weely_C31_M31.</t>
        </r>
      </text>
    </comment>
    <comment ref="I32" authorId="0" shapeId="0" xr:uid="{00000000-0006-0000-0300-000054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Weely_C31_M31.</t>
        </r>
      </text>
    </comment>
    <comment ref="J32" authorId="0" shapeId="0" xr:uid="{00000000-0006-0000-0300-00005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Weely_C31_M31.</t>
        </r>
      </text>
    </comment>
    <comment ref="K32" authorId="0" shapeId="0" xr:uid="{00000000-0006-0000-0300-00005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Weely_C31_M31.</t>
        </r>
      </text>
    </comment>
    <comment ref="L32" authorId="0" shapeId="0" xr:uid="{00000000-0006-0000-0300-00005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Weely_C31_M31.</t>
        </r>
      </text>
    </comment>
    <comment ref="M32" authorId="0" shapeId="0" xr:uid="{00000000-0006-0000-0300-00005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Weely_C31_M31.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400-00000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Monthly_C2_F2.</t>
        </r>
      </text>
    </comment>
    <comment ref="D2" authorId="0" shapeId="0" xr:uid="{00000000-0006-0000-0400-00000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Monthly_C2_F2.</t>
        </r>
      </text>
    </comment>
    <comment ref="E2" authorId="0" shapeId="0" xr:uid="{00000000-0006-0000-0400-00000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Monthly_C2_F2.</t>
        </r>
      </text>
    </comment>
    <comment ref="F2" authorId="0" shapeId="0" xr:uid="{00000000-0006-0000-0400-00000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Monthly_C2_F2.</t>
        </r>
      </text>
    </comment>
    <comment ref="C3" authorId="0" shapeId="0" xr:uid="{00000000-0006-0000-0400-00000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Monthly_C2_F2.</t>
        </r>
      </text>
    </comment>
    <comment ref="D3" authorId="0" shapeId="0" xr:uid="{00000000-0006-0000-0400-00000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Monthly_C2_F2.</t>
        </r>
      </text>
    </comment>
    <comment ref="E3" authorId="0" shapeId="0" xr:uid="{00000000-0006-0000-0400-00000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Monthly_C2_F2.</t>
        </r>
      </text>
    </comment>
    <comment ref="F3" authorId="0" shapeId="0" xr:uid="{00000000-0006-0000-0400-00000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Monthly_C2_F2.</t>
        </r>
      </text>
    </comment>
    <comment ref="C11" authorId="0" shapeId="0" xr:uid="{00000000-0006-0000-0400-00000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Monthly_C11_F11.</t>
        </r>
      </text>
    </comment>
    <comment ref="D11" authorId="0" shapeId="0" xr:uid="{00000000-0006-0000-0400-00000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Monthly_C11_F11.</t>
        </r>
      </text>
    </comment>
    <comment ref="E11" authorId="0" shapeId="0" xr:uid="{00000000-0006-0000-0400-00000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Monthly_C11_F11.</t>
        </r>
      </text>
    </comment>
    <comment ref="F11" authorId="0" shapeId="0" xr:uid="{00000000-0006-0000-0400-00000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Monthly_C11_F11.</t>
        </r>
      </text>
    </comment>
    <comment ref="C12" authorId="0" shapeId="0" xr:uid="{00000000-0006-0000-0400-00000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Monthly_C11_F11.</t>
        </r>
      </text>
    </comment>
    <comment ref="D12" authorId="0" shapeId="0" xr:uid="{00000000-0006-0000-0400-00000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Monthly_C11_F11.</t>
        </r>
      </text>
    </comment>
    <comment ref="E12" authorId="0" shapeId="0" xr:uid="{00000000-0006-0000-0400-00000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Monthly_C11_F11.</t>
        </r>
      </text>
    </comment>
    <comment ref="F12" authorId="0" shapeId="0" xr:uid="{00000000-0006-0000-0400-00001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Monthly_C11_F11.</t>
        </r>
      </text>
    </comment>
    <comment ref="C21" authorId="0" shapeId="0" xr:uid="{00000000-0006-0000-0400-00001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Monthly_C21_F21.</t>
        </r>
      </text>
    </comment>
    <comment ref="D21" authorId="0" shapeId="0" xr:uid="{00000000-0006-0000-0400-00001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Monthly_C21_F21.</t>
        </r>
      </text>
    </comment>
    <comment ref="E21" authorId="0" shapeId="0" xr:uid="{00000000-0006-0000-0400-00001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Monthly_C21_F21.</t>
        </r>
      </text>
    </comment>
    <comment ref="F21" authorId="0" shapeId="0" xr:uid="{00000000-0006-0000-0400-00001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Monthly_C21_F21.</t>
        </r>
      </text>
    </comment>
    <comment ref="C22" authorId="0" shapeId="0" xr:uid="{00000000-0006-0000-0400-00001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Monthly_C21_F21.</t>
        </r>
      </text>
    </comment>
    <comment ref="D22" authorId="0" shapeId="0" xr:uid="{00000000-0006-0000-0400-00001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Monthly_C21_F21.</t>
        </r>
      </text>
    </comment>
    <comment ref="E22" authorId="0" shapeId="0" xr:uid="{00000000-0006-0000-0400-00001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Monthly_C21_F21.</t>
        </r>
      </text>
    </comment>
    <comment ref="F22" authorId="0" shapeId="0" xr:uid="{00000000-0006-0000-0400-00001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Monthly_C21_F21.</t>
        </r>
      </text>
    </comment>
    <comment ref="C31" authorId="0" shapeId="0" xr:uid="{00000000-0006-0000-0400-00001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Monthly_C31_F31.</t>
        </r>
      </text>
    </comment>
    <comment ref="D31" authorId="0" shapeId="0" xr:uid="{00000000-0006-0000-0400-00001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Monthly_C31_F31.</t>
        </r>
      </text>
    </comment>
    <comment ref="E31" authorId="0" shapeId="0" xr:uid="{00000000-0006-0000-0400-00001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Monthly_C31_F31.</t>
        </r>
      </text>
    </comment>
    <comment ref="F31" authorId="0" shapeId="0" xr:uid="{00000000-0006-0000-0400-00001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Monthly_C31_F31.</t>
        </r>
      </text>
    </comment>
    <comment ref="C32" authorId="0" shapeId="0" xr:uid="{00000000-0006-0000-0400-00001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Monthly_C31_F31.</t>
        </r>
      </text>
    </comment>
    <comment ref="D32" authorId="0" shapeId="0" xr:uid="{00000000-0006-0000-0400-00001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Monthly_C31_F31.</t>
        </r>
      </text>
    </comment>
    <comment ref="E32" authorId="0" shapeId="0" xr:uid="{00000000-0006-0000-0400-00001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Monthly_C31_F31.</t>
        </r>
      </text>
    </comment>
    <comment ref="F32" authorId="0" shapeId="0" xr:uid="{00000000-0006-0000-0400-00002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Monthly_C31_F31.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500-00000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{{MonthToDate}} : MonthToDate.
NAMED RANGE: MTD_C2_F2.</t>
        </r>
      </text>
    </comment>
    <comment ref="D2" authorId="0" shapeId="0" xr:uid="{00000000-0006-0000-0500-00000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{{MTD_Target}} : MTD_Target.
NAMED RANGE: MTD_C2_F2.</t>
        </r>
      </text>
    </comment>
    <comment ref="E2" authorId="0" shapeId="0" xr:uid="{00000000-0006-0000-0500-00000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{{MTD_Records}} : MTD_Records.
NAMED RANGE: MTD_C2_F2.</t>
        </r>
      </text>
    </comment>
    <comment ref="F2" authorId="0" shapeId="0" xr:uid="{00000000-0006-0000-0500-00000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MTD_C2_F2.</t>
        </r>
      </text>
    </comment>
    <comment ref="C3" authorId="0" shapeId="0" xr:uid="{00000000-0006-0000-0500-00000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{{MonthToDate}} : MonthToDate NAMED RANGE: MTD_C2_F2.</t>
        </r>
      </text>
    </comment>
    <comment ref="D3" authorId="0" shapeId="0" xr:uid="{00000000-0006-0000-0500-00000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{{MTD_Target}} : MTD_Target NAMED RANGE: MTD_C2_F2.</t>
        </r>
      </text>
    </comment>
    <comment ref="E3" authorId="0" shapeId="0" xr:uid="{00000000-0006-0000-0500-00000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{{MTD_Records}} : MTD_Records NAMED RANGE: MTD_C2_F2.</t>
        </r>
      </text>
    </comment>
    <comment ref="F3" authorId="0" shapeId="0" xr:uid="{00000000-0006-0000-0500-00000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MTD_C2_F2.</t>
        </r>
      </text>
    </comment>
    <comment ref="C11" authorId="0" shapeId="0" xr:uid="{00000000-0006-0000-0500-00000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{{MonthToDate}} : MonthToDate.
NAMED RANGE: MTD_C11_F11.</t>
        </r>
      </text>
    </comment>
    <comment ref="D11" authorId="0" shapeId="0" xr:uid="{00000000-0006-0000-0500-00000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{{MTD_Target}} : MTD_Target.
NAMED RANGE: MTD_C11_F11.</t>
        </r>
      </text>
    </comment>
    <comment ref="E11" authorId="0" shapeId="0" xr:uid="{00000000-0006-0000-0500-00000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{{MTD_Records}} : MTD_Records.
NAMED RANGE: MTD_C11_F11.</t>
        </r>
      </text>
    </comment>
    <comment ref="F11" authorId="0" shapeId="0" xr:uid="{00000000-0006-0000-0500-00000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MTD_C11_F11.</t>
        </r>
      </text>
    </comment>
    <comment ref="C12" authorId="0" shapeId="0" xr:uid="{00000000-0006-0000-0500-00000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{{MonthToDate}} : MonthToDate NAMED RANGE: MTD_C11_F11.</t>
        </r>
      </text>
    </comment>
    <comment ref="D12" authorId="0" shapeId="0" xr:uid="{00000000-0006-0000-0500-00000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{{MTD_Target}} : MTD_Target NAMED RANGE: MTD_C11_F11.</t>
        </r>
      </text>
    </comment>
    <comment ref="E12" authorId="0" shapeId="0" xr:uid="{00000000-0006-0000-0500-00000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{{MTD_Records}} : MTD_Records NAMED RANGE: MTD_C11_F11.</t>
        </r>
      </text>
    </comment>
    <comment ref="F12" authorId="0" shapeId="0" xr:uid="{00000000-0006-0000-0500-00001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MTD_C11_F11.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600-00000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YTD_C2_F2.</t>
        </r>
      </text>
    </comment>
    <comment ref="D2" authorId="0" shapeId="0" xr:uid="{00000000-0006-0000-0600-00000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YTD_C2_F2.</t>
        </r>
      </text>
    </comment>
    <comment ref="E2" authorId="0" shapeId="0" xr:uid="{00000000-0006-0000-0600-00000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YTD_C2_F2.</t>
        </r>
      </text>
    </comment>
    <comment ref="F2" authorId="0" shapeId="0" xr:uid="{00000000-0006-0000-0600-00000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YTD_C2_F2.</t>
        </r>
      </text>
    </comment>
    <comment ref="C3" authorId="0" shapeId="0" xr:uid="{00000000-0006-0000-0600-00000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YTD_C2_F2.</t>
        </r>
      </text>
    </comment>
    <comment ref="D3" authorId="0" shapeId="0" xr:uid="{00000000-0006-0000-0600-00000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YTD_C2_F2.</t>
        </r>
      </text>
    </comment>
    <comment ref="E3" authorId="0" shapeId="0" xr:uid="{00000000-0006-0000-0600-00000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YTD_C2_F2.</t>
        </r>
      </text>
    </comment>
    <comment ref="F3" authorId="0" shapeId="0" xr:uid="{00000000-0006-0000-0600-00000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YTD_C2_F2.</t>
        </r>
      </text>
    </comment>
    <comment ref="C11" authorId="0" shapeId="0" xr:uid="{00000000-0006-0000-0600-00000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YTD_C11_F11.</t>
        </r>
      </text>
    </comment>
    <comment ref="D11" authorId="0" shapeId="0" xr:uid="{00000000-0006-0000-0600-00000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YTD_C11_F11.</t>
        </r>
      </text>
    </comment>
    <comment ref="E11" authorId="0" shapeId="0" xr:uid="{00000000-0006-0000-0600-00000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YTD_C11_F11.</t>
        </r>
      </text>
    </comment>
    <comment ref="F11" authorId="0" shapeId="0" xr:uid="{00000000-0006-0000-0600-00000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YTD_C11_F11.</t>
        </r>
      </text>
    </comment>
    <comment ref="C12" authorId="0" shapeId="0" xr:uid="{00000000-0006-0000-0600-00000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YTD_C11_F11.</t>
        </r>
      </text>
    </comment>
    <comment ref="D12" authorId="0" shapeId="0" xr:uid="{00000000-0006-0000-0600-00000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YTD_C11_F11.</t>
        </r>
      </text>
    </comment>
    <comment ref="E12" authorId="0" shapeId="0" xr:uid="{00000000-0006-0000-0600-00000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YTD_C11_F11.</t>
        </r>
      </text>
    </comment>
    <comment ref="F12" authorId="0" shapeId="0" xr:uid="{00000000-0006-0000-0600-00001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YTD_C11_F11.</t>
        </r>
      </text>
    </comment>
    <comment ref="C21" authorId="0" shapeId="0" xr:uid="{00000000-0006-0000-0600-00001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YTD_C21_F21.</t>
        </r>
      </text>
    </comment>
    <comment ref="D21" authorId="0" shapeId="0" xr:uid="{00000000-0006-0000-0600-00001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YTD_C21_F21.</t>
        </r>
      </text>
    </comment>
    <comment ref="E21" authorId="0" shapeId="0" xr:uid="{00000000-0006-0000-0600-00001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YTD_C21_F21.</t>
        </r>
      </text>
    </comment>
    <comment ref="F21" authorId="0" shapeId="0" xr:uid="{00000000-0006-0000-0600-00001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YTD_C21_F21.</t>
        </r>
      </text>
    </comment>
    <comment ref="C22" authorId="0" shapeId="0" xr:uid="{00000000-0006-0000-0600-00001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YTD_C21_F21.</t>
        </r>
      </text>
    </comment>
    <comment ref="D22" authorId="0" shapeId="0" xr:uid="{00000000-0006-0000-0600-00001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YTD_C21_F21.</t>
        </r>
      </text>
    </comment>
    <comment ref="E22" authorId="0" shapeId="0" xr:uid="{00000000-0006-0000-0600-00001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YTD_C21_F21.</t>
        </r>
      </text>
    </comment>
    <comment ref="F22" authorId="0" shapeId="0" xr:uid="{00000000-0006-0000-0600-00001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YTD_C21_F21.</t>
        </r>
      </text>
    </comment>
    <comment ref="C31" authorId="0" shapeId="0" xr:uid="{00000000-0006-0000-0600-00001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YTD_C31_F31.</t>
        </r>
      </text>
    </comment>
    <comment ref="D31" authorId="0" shapeId="0" xr:uid="{00000000-0006-0000-0600-00001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YTD_C31_F31.</t>
        </r>
      </text>
    </comment>
    <comment ref="E31" authorId="0" shapeId="0" xr:uid="{00000000-0006-0000-0600-00001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YTD_C31_F31.</t>
        </r>
      </text>
    </comment>
    <comment ref="F31" authorId="0" shapeId="0" xr:uid="{00000000-0006-0000-0600-00001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YTD_C31_F31.</t>
        </r>
      </text>
    </comment>
    <comment ref="C32" authorId="0" shapeId="0" xr:uid="{00000000-0006-0000-0600-00001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YTD_C31_F31.</t>
        </r>
      </text>
    </comment>
    <comment ref="D32" authorId="0" shapeId="0" xr:uid="{00000000-0006-0000-0600-00001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YTD_C31_F31.</t>
        </r>
      </text>
    </comment>
    <comment ref="E32" authorId="0" shapeId="0" xr:uid="{00000000-0006-0000-0600-00001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YTD_C31_F31.</t>
        </r>
      </text>
    </comment>
    <comment ref="F32" authorId="0" shapeId="0" xr:uid="{00000000-0006-0000-0600-00002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YTD_C31_F31.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700-00000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PrevFY_C2_F2.</t>
        </r>
      </text>
    </comment>
    <comment ref="D2" authorId="0" shapeId="0" xr:uid="{00000000-0006-0000-0700-00000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PrevFY_C2_F2.</t>
        </r>
      </text>
    </comment>
    <comment ref="E2" authorId="0" shapeId="0" xr:uid="{00000000-0006-0000-0700-00000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PrevFY_C2_F2.</t>
        </r>
      </text>
    </comment>
    <comment ref="F2" authorId="0" shapeId="0" xr:uid="{00000000-0006-0000-0700-00000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PrevFY_C2_F2.</t>
        </r>
      </text>
    </comment>
    <comment ref="C3" authorId="0" shapeId="0" xr:uid="{00000000-0006-0000-0700-00000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PrevFY_C2_F2.</t>
        </r>
      </text>
    </comment>
    <comment ref="D3" authorId="0" shapeId="0" xr:uid="{00000000-0006-0000-0700-00000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PrevFY_C2_F2.</t>
        </r>
      </text>
    </comment>
    <comment ref="E3" authorId="0" shapeId="0" xr:uid="{00000000-0006-0000-0700-00000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PrevFY_C2_F2.</t>
        </r>
      </text>
    </comment>
    <comment ref="F3" authorId="0" shapeId="0" xr:uid="{00000000-0006-0000-0700-00000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PrevFY_C2_F2.</t>
        </r>
      </text>
    </comment>
    <comment ref="C11" authorId="0" shapeId="0" xr:uid="{00000000-0006-0000-0700-00000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PrevFY_C11_F11.</t>
        </r>
      </text>
    </comment>
    <comment ref="D11" authorId="0" shapeId="0" xr:uid="{00000000-0006-0000-0700-00000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PrevFY_C11_F11.</t>
        </r>
      </text>
    </comment>
    <comment ref="E11" authorId="0" shapeId="0" xr:uid="{00000000-0006-0000-0700-00000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PrevFY_C11_F11.</t>
        </r>
      </text>
    </comment>
    <comment ref="F11" authorId="0" shapeId="0" xr:uid="{00000000-0006-0000-0700-00000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PrevFY_C11_F11.</t>
        </r>
      </text>
    </comment>
    <comment ref="C12" authorId="0" shapeId="0" xr:uid="{00000000-0006-0000-0700-00000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PrevFY_C11_F11.</t>
        </r>
      </text>
    </comment>
    <comment ref="D12" authorId="0" shapeId="0" xr:uid="{00000000-0006-0000-0700-00000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PrevFY_C11_F11.</t>
        </r>
      </text>
    </comment>
    <comment ref="E12" authorId="0" shapeId="0" xr:uid="{00000000-0006-0000-0700-00000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PrevFY_C11_F11.</t>
        </r>
      </text>
    </comment>
    <comment ref="F12" authorId="0" shapeId="0" xr:uid="{00000000-0006-0000-0700-00001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PrevFY_C11_F11.</t>
        </r>
      </text>
    </comment>
    <comment ref="C21" authorId="0" shapeId="0" xr:uid="{00000000-0006-0000-0700-000011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PrevFY_C21_F21.</t>
        </r>
      </text>
    </comment>
    <comment ref="D21" authorId="0" shapeId="0" xr:uid="{00000000-0006-0000-0700-000012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PrevFY_C21_F21.</t>
        </r>
      </text>
    </comment>
    <comment ref="E21" authorId="0" shapeId="0" xr:uid="{00000000-0006-0000-0700-000013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PrevFY_C21_F21.</t>
        </r>
      </text>
    </comment>
    <comment ref="F21" authorId="0" shapeId="0" xr:uid="{00000000-0006-0000-0700-000014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PrevFY_C21_F21.</t>
        </r>
      </text>
    </comment>
    <comment ref="C22" authorId="0" shapeId="0" xr:uid="{00000000-0006-0000-0700-000015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PrevFY_C21_F21.</t>
        </r>
      </text>
    </comment>
    <comment ref="D22" authorId="0" shapeId="0" xr:uid="{00000000-0006-0000-0700-000016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PrevFY_C21_F21.</t>
        </r>
      </text>
    </comment>
    <comment ref="E22" authorId="0" shapeId="0" xr:uid="{00000000-0006-0000-0700-000017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PrevFY_C21_F21.</t>
        </r>
      </text>
    </comment>
    <comment ref="F22" authorId="0" shapeId="0" xr:uid="{00000000-0006-0000-0700-000018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PrevFY_C21_F21.</t>
        </r>
      </text>
    </comment>
    <comment ref="C31" authorId="0" shapeId="0" xr:uid="{00000000-0006-0000-0700-000019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PrevFY_C31_F31.</t>
        </r>
      </text>
    </comment>
    <comment ref="D31" authorId="0" shapeId="0" xr:uid="{00000000-0006-0000-0700-00001A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PrevFY_C31_F31.</t>
        </r>
      </text>
    </comment>
    <comment ref="E31" authorId="0" shapeId="0" xr:uid="{00000000-0006-0000-0700-00001B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PrevFY_C31_F31.</t>
        </r>
      </text>
    </comment>
    <comment ref="F31" authorId="0" shapeId="0" xr:uid="{00000000-0006-0000-0700-00001C000000}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PrevFY_C31_F31.</t>
        </r>
      </text>
    </comment>
    <comment ref="C32" authorId="0" shapeId="0" xr:uid="{00000000-0006-0000-0700-00001D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PrevFY_C31_F31.</t>
        </r>
      </text>
    </comment>
    <comment ref="D32" authorId="0" shapeId="0" xr:uid="{00000000-0006-0000-0700-00001E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PrevFY_C31_F31.</t>
        </r>
      </text>
    </comment>
    <comment ref="E32" authorId="0" shapeId="0" xr:uid="{00000000-0006-0000-0700-00001F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PrevFY_C31_F31.</t>
        </r>
      </text>
    </comment>
    <comment ref="F32" authorId="0" shapeId="0" xr:uid="{00000000-0006-0000-0700-000020000000}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PrevFY_C31_F31.</t>
        </r>
      </text>
    </comment>
  </commentList>
</comments>
</file>

<file path=xl/sharedStrings.xml><?xml version="1.0" encoding="utf-8"?>
<sst xmlns="http://schemas.openxmlformats.org/spreadsheetml/2006/main" count="345" uniqueCount="151">
  <si>
    <t>MANAGEMENT PRODUCTION REPORT</t>
  </si>
  <si>
    <t>Month</t>
  </si>
  <si>
    <t>Jun 2026</t>
  </si>
  <si>
    <t>Available Working Days</t>
  </si>
  <si>
    <t>Date</t>
  </si>
  <si>
    <t>09-06-2026</t>
  </si>
  <si>
    <t>Working Days Left</t>
  </si>
  <si>
    <t>Time</t>
  </si>
  <si>
    <t>Monthly</t>
  </si>
  <si>
    <t>Weekly</t>
  </si>
  <si>
    <t>Daily</t>
  </si>
  <si>
    <t>MTD</t>
  </si>
  <si>
    <t>YTD</t>
  </si>
  <si>
    <t>FY</t>
  </si>
  <si>
    <t>Week Actual</t>
  </si>
  <si>
    <t>09-Jun-2026</t>
  </si>
  <si>
    <t>09-Jun</t>
  </si>
  <si>
    <t>MTD Rollout</t>
  </si>
  <si>
    <t>Plan</t>
  </si>
  <si>
    <t>Act</t>
  </si>
  <si>
    <t>Var</t>
  </si>
  <si>
    <t>W1</t>
  </si>
  <si>
    <t>W2</t>
  </si>
  <si>
    <t>W3</t>
  </si>
  <si>
    <t>W4</t>
  </si>
  <si>
    <t>W5</t>
  </si>
  <si>
    <t>Saarthi D+6</t>
  </si>
  <si>
    <t>Micky D+3</t>
  </si>
  <si>
    <t>Cargo</t>
  </si>
  <si>
    <t>I-Puma</t>
  </si>
  <si>
    <t>FY 25-26</t>
  </si>
  <si>
    <t>Weekly Saarthi</t>
  </si>
  <si>
    <t>Saarthi</t>
  </si>
  <si>
    <t>Micky</t>
  </si>
  <si>
    <t>Saarthi MTD</t>
  </si>
  <si>
    <t>Micky MTD</t>
  </si>
  <si>
    <t>Sarthi</t>
  </si>
  <si>
    <t>Total</t>
  </si>
  <si>
    <t>Chassis</t>
  </si>
  <si>
    <t>Roll Out</t>
  </si>
  <si>
    <t>BIW</t>
  </si>
  <si>
    <t>Weekly Micky</t>
  </si>
  <si>
    <t>Weekly Cargo</t>
  </si>
  <si>
    <t>Cargo MTD</t>
  </si>
  <si>
    <t>I-Puma MTD</t>
  </si>
  <si>
    <t>Weekly I-Puma</t>
  </si>
  <si>
    <t>Chassis Line Status</t>
  </si>
  <si>
    <t>Shift</t>
  </si>
  <si>
    <t>Shift Start Time</t>
  </si>
  <si>
    <t>Shift End Time</t>
  </si>
  <si>
    <t>Station Number</t>
  </si>
  <si>
    <t>Shift Time (Min)</t>
  </si>
  <si>
    <t>Plan Down Time (Min)</t>
  </si>
  <si>
    <t>Production Count</t>
  </si>
  <si>
    <t>Production Loss (Min)</t>
  </si>
  <si>
    <t>Call Loss Process (Min)</t>
  </si>
  <si>
    <t>Call Loss Material (Min)</t>
  </si>
  <si>
    <t>Call Loss Quality (Min)</t>
  </si>
  <si>
    <t>Call Loss Maint (Min)</t>
  </si>
  <si>
    <t>Call Loss Other (Min)</t>
  </si>
  <si>
    <t>Call Loss Remark</t>
  </si>
  <si>
    <t>Station Availability (%)</t>
  </si>
  <si>
    <t>CH-10</t>
  </si>
  <si>
    <t>CH-20</t>
  </si>
  <si>
    <t>CH-30</t>
  </si>
  <si>
    <t>CH-40</t>
  </si>
  <si>
    <t>CH-50</t>
  </si>
  <si>
    <t>CH-60</t>
  </si>
  <si>
    <t>Station Call</t>
  </si>
  <si>
    <t>Daily ( Min )</t>
  </si>
  <si>
    <t>No of Minutes Lost</t>
  </si>
  <si>
    <t>Trim</t>
  </si>
  <si>
    <t>Saarthi Main</t>
  </si>
  <si>
    <t>Saarthi Sub</t>
  </si>
  <si>
    <t>I-PUMA Main</t>
  </si>
  <si>
    <t>I-PUMA Sub</t>
  </si>
  <si>
    <t>Cargo Main</t>
  </si>
  <si>
    <t>Cargo Sub</t>
  </si>
  <si>
    <t>Chassis Line Loss Reason</t>
  </si>
  <si>
    <t>Remark</t>
  </si>
  <si>
    <t>Process Call</t>
  </si>
  <si>
    <t>Standard Work Problem</t>
  </si>
  <si>
    <t>Material Call</t>
  </si>
  <si>
    <t>Material Shortage</t>
  </si>
  <si>
    <t>Quality Call</t>
  </si>
  <si>
    <t>Maintenance Call</t>
  </si>
  <si>
    <t>Water Flow Issue</t>
  </si>
  <si>
    <t>Other</t>
  </si>
  <si>
    <t>M_TCF</t>
  </si>
  <si>
    <t>{{Date}} : Date</t>
  </si>
  <si>
    <t>{{TargetCount}} : TargetCount</t>
  </si>
  <si>
    <t>{{ActualCount}} : ActualCount</t>
  </si>
  <si>
    <t>{{Difference}} : Difference</t>
  </si>
  <si>
    <t>{{total_working_days}} : total_working_days</t>
  </si>
  <si>
    <t>{{working_days_left}} : working_days_left</t>
  </si>
  <si>
    <t>S_TCF</t>
  </si>
  <si>
    <t>M_BIW</t>
  </si>
  <si>
    <t>S_BIW</t>
  </si>
  <si>
    <t>Line Stop Daily</t>
  </si>
  <si>
    <t>{{TypeOfCallText}} : TypeOfCallText</t>
  </si>
  <si>
    <t>{{I-Puma Sub_Minutes}} : I-Puma Sub_Minutes</t>
  </si>
  <si>
    <t>{{I-Puma Main_Minutes}} : I-Puma Main_Minutes</t>
  </si>
  <si>
    <t>{{BIW Sub_Minutes}} : BIW Sub_Minutes</t>
  </si>
  <si>
    <t>{{BIW Main_Minutes}} : BIW Main_Minutes</t>
  </si>
  <si>
    <t>{{Micky_Minutes}} : Micky_Minutes</t>
  </si>
  <si>
    <t>{{D+6_Minutes}} : D+6_Minutes</t>
  </si>
  <si>
    <t>{{Total_Minutes}} : Total_Minutes</t>
  </si>
  <si>
    <t>{{I-Puma Sub_TopReason1}} : I-Puma Sub_TopReason1</t>
  </si>
  <si>
    <t>{{I-Puma Main_TopReason1}} : I-Puma Main_TopReason1</t>
  </si>
  <si>
    <t>{{BIW Sub_TopReason1}} : BIW Sub_TopReason1</t>
  </si>
  <si>
    <t>{{BIW Main_TopReason1}} : BIW Main_TopReason1</t>
  </si>
  <si>
    <t>{{Micky_TopReason1}} : Micky_TopReason1</t>
  </si>
  <si>
    <t>{{D+6_TopReason1}} : D+6_TopReason1</t>
  </si>
  <si>
    <t>Line Stop Monthly</t>
  </si>
  <si>
    <t>Information/Instruction Needed</t>
  </si>
  <si>
    <t>Work Imbalance</t>
  </si>
  <si>
    <t>Defect Created</t>
  </si>
  <si>
    <t>Part Issue</t>
  </si>
  <si>
    <t>Spare1</t>
  </si>
  <si>
    <t>Air Pressure Drop</t>
  </si>
  <si>
    <t>Prodction Loss</t>
  </si>
  <si>
    <t>{{Comment}} : Comment</t>
  </si>
  <si>
    <t>{{Week1_Target}} : Week1_Target</t>
  </si>
  <si>
    <t>{{Week1_Actual}} : Week1_Actual</t>
  </si>
  <si>
    <t>{{Week2_Target}} : Week2_Target</t>
  </si>
  <si>
    <t>{{Week2_Actual}} : Week2_Actual</t>
  </si>
  <si>
    <t>{{Week3_Target}} : Week3_Target</t>
  </si>
  <si>
    <t>{{Week3_Actual}} : Week3_Actual</t>
  </si>
  <si>
    <t>{{Week4_Target}} : Week4_Target</t>
  </si>
  <si>
    <t>{{Week4_Actual}} : Week4_Actual</t>
  </si>
  <si>
    <t>{{Week5_Target}} : Week5_Target</t>
  </si>
  <si>
    <t>{{Week5_Actual}} : Week5_Actual</t>
  </si>
  <si>
    <t>{{Month}} : Month</t>
  </si>
  <si>
    <t>{{MonthlyTarget}} : MonthlyTarget</t>
  </si>
  <si>
    <t>{{TotalRecords}} : TotalRecords</t>
  </si>
  <si>
    <t>{{MonthToDate}} : MonthToDate</t>
  </si>
  <si>
    <t>{{MTD_Target}} : MTD_Target</t>
  </si>
  <si>
    <t>{{MTD_Records}} : MTD_Records</t>
  </si>
  <si>
    <t>{{YearToDate}} : YearToDate</t>
  </si>
  <si>
    <t>{{YTD_Target}} : YTD_Target</t>
  </si>
  <si>
    <t>{{YTD_Records}} : YTD_Records</t>
  </si>
  <si>
    <t xml:space="preserve">Micky </t>
  </si>
  <si>
    <t xml:space="preserve">D+6 </t>
  </si>
  <si>
    <t>{{FinancialYear}} : FinancialYear</t>
  </si>
  <si>
    <t>{{TotalTarget}} : TotalTarget</t>
  </si>
  <si>
    <t xml:space="preserve">FY </t>
  </si>
  <si>
    <t>25-26</t>
  </si>
  <si>
    <t>G</t>
  </si>
  <si>
    <t>40min break</t>
  </si>
  <si>
    <t>Chassis Production Daily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</si>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</sst>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5" xfId="0" applyFon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2" fontId="0" fillId="3" borderId="5" xfId="0" applyNumberFormat="1" applyFill="1" applyBorder="1"/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49" fontId="0" fillId="10" borderId="5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49" fontId="0" fillId="11" borderId="5" xfId="0" applyNumberForma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49" fontId="0" fillId="12" borderId="5" xfId="0" applyNumberForma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0" fillId="13" borderId="5" xfId="0" applyNumberForma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49" fontId="0" fillId="14" borderId="5" xfId="0" applyNumberForma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0" borderId="2" xfId="0" applyBorder="1"/>
    <xf numFmtId="0" fontId="4" fillId="7" borderId="5" xfId="0" applyFont="1" applyFill="1" applyBorder="1" applyAlignment="1">
      <alignment vertical="center" wrapText="1"/>
    </xf>
    <xf numFmtId="0" fontId="0" fillId="3" borderId="5" xfId="0" applyFill="1" applyBorder="1"/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7" xfId="0" applyBorder="1"/>
    <xf numFmtId="0" fontId="0" fillId="4" borderId="30" xfId="0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1" fontId="2" fillId="0" borderId="7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18" fontId="0" fillId="0" borderId="5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8" xfId="0" applyBorder="1"/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0" fillId="0" borderId="25" xfId="0" applyBorder="1"/>
    <xf numFmtId="0" fontId="4" fillId="5" borderId="5" xfId="0" applyFont="1" applyFill="1" applyBorder="1" applyAlignment="1">
      <alignment horizontal="center" vertical="center"/>
    </xf>
    <xf numFmtId="0" fontId="0" fillId="5" borderId="15" xfId="0" applyFill="1" applyBorder="1"/>
    <xf numFmtId="0" fontId="0" fillId="5" borderId="16" xfId="0" applyFill="1" applyBorder="1"/>
    <xf numFmtId="49" fontId="6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0" fillId="3" borderId="5" xfId="0" applyFill="1" applyBorder="1"/>
    <xf numFmtId="16" fontId="4" fillId="0" borderId="5" xfId="0" applyNumberFormat="1" applyFon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4" borderId="16" xfId="0" applyFill="1" applyBorder="1"/>
    <xf numFmtId="0" fontId="6" fillId="4" borderId="5" xfId="0" applyFont="1" applyFill="1" applyBorder="1" applyAlignment="1">
      <alignment horizontal="center"/>
    </xf>
    <xf numFmtId="0" fontId="0" fillId="4" borderId="15" xfId="0" applyFill="1" applyBorder="1"/>
    <xf numFmtId="0" fontId="0" fillId="4" borderId="25" xfId="0" applyFill="1" applyBorder="1"/>
    <xf numFmtId="0" fontId="1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1" fillId="4" borderId="30" xfId="0" applyFont="1" applyFill="1" applyBorder="1" applyAlignment="1">
      <alignment horizontal="left"/>
    </xf>
    <xf numFmtId="0" fontId="0" fillId="4" borderId="27" xfId="0" applyFill="1" applyBorder="1"/>
    <xf numFmtId="0" fontId="0" fillId="4" borderId="28" xfId="0" applyFill="1" applyBorder="1"/>
    <xf numFmtId="0" fontId="1" fillId="4" borderId="30" xfId="0" applyFont="1" applyFill="1" applyBorder="1" applyAlignment="1">
      <alignment horizontal="center"/>
    </xf>
    <xf numFmtId="0" fontId="0" fillId="4" borderId="2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topLeftCell="D37" zoomScale="81" zoomScaleNormal="80" workbookViewId="0">
      <selection activeCell="O48" sqref="O48:R51"/>
    </sheetView>
  </sheetViews>
  <sheetFormatPr defaultColWidth="9" defaultRowHeight="14.4"/>
  <cols>
    <col min="1" max="1" width="8.5546875" customWidth="1"/>
    <col min="2" max="2" width="10.88671875" customWidth="1"/>
    <col min="3" max="3" width="8.88671875" customWidth="1"/>
    <col min="4" max="4" width="13.6640625" customWidth="1"/>
    <col min="5" max="5" width="10.6640625" customWidth="1"/>
    <col min="6" max="6" width="13.109375" customWidth="1"/>
    <col min="7" max="7" width="12.6640625" customWidth="1"/>
    <col min="8" max="8" width="12" customWidth="1"/>
    <col min="9" max="9" width="14" customWidth="1"/>
    <col min="10" max="10" width="12.5546875" customWidth="1"/>
    <col min="11" max="11" width="6" customWidth="1"/>
    <col min="12" max="12" width="6.109375" customWidth="1"/>
    <col min="13" max="13" width="6" customWidth="1"/>
    <col min="14" max="14" width="6.6640625" customWidth="1"/>
    <col min="15" max="15" width="6.88671875" customWidth="1"/>
    <col min="16" max="16" width="6" customWidth="1"/>
    <col min="17" max="18" width="6.5546875" customWidth="1"/>
    <col min="19" max="19" width="6.109375" customWidth="1"/>
    <col min="20" max="20" width="5" customWidth="1"/>
    <col min="21" max="21" width="8.6640625" customWidth="1"/>
    <col min="24" max="24" width="32.33203125" bestFit="1" customWidth="1"/>
  </cols>
  <sheetData>
    <row r="1" spans="1:2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8"/>
    </row>
    <row r="2" spans="1:21" ht="15" customHeight="1" thickBot="1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1"/>
    </row>
    <row r="3" spans="1:21">
      <c r="A3" s="3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4"/>
    </row>
    <row r="4" spans="1:21" ht="15" customHeight="1">
      <c r="A4" s="67" t="s">
        <v>4</v>
      </c>
      <c r="B4" s="83" t="s">
        <v>5</v>
      </c>
      <c r="C4" s="74"/>
      <c r="P4" s="82" t="s">
        <v>1</v>
      </c>
      <c r="Q4" s="73"/>
      <c r="R4" s="73"/>
      <c r="S4" s="73"/>
      <c r="T4" s="74"/>
      <c r="U4" s="35" t="s">
        <v>2</v>
      </c>
    </row>
    <row r="5" spans="1:21" ht="15" customHeight="1">
      <c r="A5" s="67" t="s">
        <v>7</v>
      </c>
      <c r="B5" s="75">
        <v>0.69398981410879634</v>
      </c>
      <c r="C5" s="74"/>
      <c r="P5" s="72" t="s">
        <v>3</v>
      </c>
      <c r="Q5" s="73"/>
      <c r="R5" s="73"/>
      <c r="S5" s="73"/>
      <c r="T5" s="74"/>
      <c r="U5" s="6">
        <f>Daily!L3</f>
        <v>0</v>
      </c>
    </row>
    <row r="6" spans="1:21">
      <c r="A6" s="5"/>
      <c r="P6" s="72" t="s">
        <v>6</v>
      </c>
      <c r="Q6" s="73"/>
      <c r="R6" s="73"/>
      <c r="S6" s="73"/>
      <c r="T6" s="74"/>
      <c r="U6" s="6">
        <f>Daily!M3</f>
        <v>0</v>
      </c>
    </row>
    <row r="7" spans="1:21">
      <c r="A7" s="5"/>
      <c r="S7" s="66"/>
      <c r="T7" s="66"/>
      <c r="U7" s="7"/>
    </row>
    <row r="8" spans="1:21">
      <c r="A8" s="84"/>
      <c r="B8" s="85"/>
      <c r="C8" s="85"/>
      <c r="D8" s="86"/>
      <c r="E8" s="82" t="s">
        <v>8</v>
      </c>
      <c r="F8" s="73"/>
      <c r="G8" s="74"/>
      <c r="H8" s="59"/>
      <c r="I8" s="82" t="s">
        <v>9</v>
      </c>
      <c r="J8" s="73"/>
      <c r="K8" s="73"/>
      <c r="L8" s="73"/>
      <c r="M8" s="74"/>
      <c r="N8" s="82" t="s">
        <v>10</v>
      </c>
      <c r="O8" s="73"/>
      <c r="P8" s="74"/>
      <c r="Q8" s="82" t="s">
        <v>11</v>
      </c>
      <c r="R8" s="73"/>
      <c r="S8" s="74"/>
      <c r="T8" s="30" t="s">
        <v>12</v>
      </c>
      <c r="U8" s="9" t="s">
        <v>13</v>
      </c>
    </row>
    <row r="9" spans="1:21">
      <c r="A9" s="87"/>
      <c r="B9" s="88"/>
      <c r="C9" s="88"/>
      <c r="D9" s="89"/>
      <c r="E9" s="90" t="s">
        <v>2</v>
      </c>
      <c r="F9" s="73"/>
      <c r="G9" s="74"/>
      <c r="H9" s="59"/>
      <c r="I9" s="82" t="s">
        <v>14</v>
      </c>
      <c r="J9" s="73"/>
      <c r="K9" s="73"/>
      <c r="L9" s="73"/>
      <c r="M9" s="74"/>
      <c r="N9" s="90" t="s">
        <v>15</v>
      </c>
      <c r="O9" s="73"/>
      <c r="P9" s="74"/>
      <c r="Q9" s="90" t="s">
        <v>16</v>
      </c>
      <c r="R9" s="73"/>
      <c r="S9" s="74"/>
      <c r="T9" s="30">
        <f>YTD!C12</f>
        <v>0</v>
      </c>
      <c r="U9" s="10" t="str">
        <f>PrevFY!C12</f>
        <v>25-26</v>
      </c>
    </row>
    <row r="10" spans="1:21">
      <c r="A10" s="91" t="s">
        <v>17</v>
      </c>
      <c r="B10" s="73"/>
      <c r="C10" s="73"/>
      <c r="D10" s="74"/>
      <c r="E10" s="59" t="s">
        <v>18</v>
      </c>
      <c r="F10" s="59" t="s">
        <v>19</v>
      </c>
      <c r="G10" s="59" t="s">
        <v>20</v>
      </c>
      <c r="H10" s="59"/>
      <c r="I10" s="59" t="s">
        <v>21</v>
      </c>
      <c r="J10" s="59" t="s">
        <v>22</v>
      </c>
      <c r="K10" s="59" t="s">
        <v>23</v>
      </c>
      <c r="L10" s="59" t="s">
        <v>24</v>
      </c>
      <c r="M10" s="59" t="s">
        <v>25</v>
      </c>
      <c r="N10" s="59" t="s">
        <v>18</v>
      </c>
      <c r="O10" s="59" t="s">
        <v>19</v>
      </c>
      <c r="P10" s="59" t="s">
        <v>20</v>
      </c>
      <c r="Q10" s="59" t="s">
        <v>18</v>
      </c>
      <c r="R10" s="59" t="s">
        <v>19</v>
      </c>
      <c r="S10" s="59" t="s">
        <v>20</v>
      </c>
      <c r="T10" s="59" t="s">
        <v>19</v>
      </c>
      <c r="U10" s="10" t="s">
        <v>19</v>
      </c>
    </row>
    <row r="11" spans="1:21">
      <c r="A11" s="92" t="s">
        <v>26</v>
      </c>
      <c r="B11" s="73"/>
      <c r="C11" s="73"/>
      <c r="D11" s="74"/>
      <c r="E11" s="64">
        <v>70</v>
      </c>
      <c r="F11" s="44">
        <v>23</v>
      </c>
      <c r="G11" s="36">
        <v>-47</v>
      </c>
      <c r="H11" s="63"/>
      <c r="I11" s="36">
        <v>15</v>
      </c>
      <c r="J11" s="36">
        <v>8</v>
      </c>
      <c r="K11" s="36">
        <v>0</v>
      </c>
      <c r="L11" s="36">
        <v>0</v>
      </c>
      <c r="M11" s="36">
        <v>0</v>
      </c>
      <c r="N11" s="37">
        <v>10</v>
      </c>
      <c r="O11" s="52">
        <v>2</v>
      </c>
      <c r="P11" s="36">
        <v>-8</v>
      </c>
      <c r="Q11" s="36">
        <v>70</v>
      </c>
      <c r="R11" s="48">
        <v>23</v>
      </c>
      <c r="S11" s="36">
        <v>-47</v>
      </c>
      <c r="T11" s="36">
        <v>288</v>
      </c>
      <c r="U11" s="38">
        <v>68</v>
      </c>
    </row>
    <row r="12" spans="1:21">
      <c r="A12" s="93" t="s">
        <v>27</v>
      </c>
      <c r="B12" s="73"/>
      <c r="C12" s="73"/>
      <c r="D12" s="74"/>
      <c r="E12" s="64">
        <v>80</v>
      </c>
      <c r="F12" s="46">
        <v>29</v>
      </c>
      <c r="G12" s="36">
        <v>-51</v>
      </c>
      <c r="H12" s="63"/>
      <c r="I12" s="36">
        <v>24</v>
      </c>
      <c r="J12" s="36">
        <v>5</v>
      </c>
      <c r="K12" s="36">
        <v>0</v>
      </c>
      <c r="L12" s="36">
        <v>0</v>
      </c>
      <c r="M12" s="36">
        <v>0</v>
      </c>
      <c r="N12" s="37">
        <v>10</v>
      </c>
      <c r="O12" s="54">
        <v>1</v>
      </c>
      <c r="P12" s="36">
        <v>-9</v>
      </c>
      <c r="Q12" s="36">
        <v>80</v>
      </c>
      <c r="R12" s="50">
        <v>29</v>
      </c>
      <c r="S12" s="36">
        <v>-51</v>
      </c>
      <c r="T12" s="36">
        <v>366</v>
      </c>
      <c r="U12" s="38">
        <v>68</v>
      </c>
    </row>
    <row r="13" spans="1:21">
      <c r="A13" s="93" t="s">
        <v>28</v>
      </c>
      <c r="B13" s="73"/>
      <c r="C13" s="73"/>
      <c r="D13" s="74"/>
      <c r="E13" s="65">
        <f>Monthly!D4</f>
        <v>0</v>
      </c>
      <c r="F13" s="65">
        <f>Monthly!E4</f>
        <v>0</v>
      </c>
      <c r="G13" s="63">
        <f>Monthly!F4</f>
        <v>0</v>
      </c>
      <c r="H13" s="32"/>
      <c r="I13" s="63">
        <f>Weely!E4</f>
        <v>0</v>
      </c>
      <c r="J13" s="63">
        <f>Weely!G4</f>
        <v>0</v>
      </c>
      <c r="K13" s="63">
        <f>Weely!I4</f>
        <v>0</v>
      </c>
      <c r="L13" s="63">
        <f>Weely!K4</f>
        <v>0</v>
      </c>
      <c r="M13" s="63">
        <f>Weely!M4</f>
        <v>0</v>
      </c>
      <c r="N13" s="27">
        <f>Daily!D4</f>
        <v>0</v>
      </c>
      <c r="O13" s="27">
        <f>Daily!E4</f>
        <v>0</v>
      </c>
      <c r="P13" s="63">
        <f>Daily!F4</f>
        <v>0</v>
      </c>
      <c r="Q13" s="63">
        <f>MTD!D4</f>
        <v>0</v>
      </c>
      <c r="R13" s="63">
        <f>MTD!E4</f>
        <v>0</v>
      </c>
      <c r="S13" s="63">
        <f>MTD!F4</f>
        <v>0</v>
      </c>
      <c r="T13" s="63">
        <f>YTD!E4</f>
        <v>0</v>
      </c>
      <c r="U13" s="6">
        <f>PrevFY!E4</f>
        <v>0</v>
      </c>
    </row>
    <row r="14" spans="1:21">
      <c r="A14" s="93" t="s">
        <v>29</v>
      </c>
      <c r="B14" s="73"/>
      <c r="C14" s="73"/>
      <c r="D14" s="74"/>
      <c r="E14" s="65">
        <f>Monthly!D5</f>
        <v>0</v>
      </c>
      <c r="F14" s="65">
        <f>Monthly!E5</f>
        <v>0</v>
      </c>
      <c r="G14" s="63">
        <f>Monthly!F5</f>
        <v>0</v>
      </c>
      <c r="H14" s="32"/>
      <c r="I14" s="63">
        <f>Weely!E5</f>
        <v>0</v>
      </c>
      <c r="J14" s="63">
        <f>Weely!G5</f>
        <v>0</v>
      </c>
      <c r="K14" s="63">
        <f>Weely!I5</f>
        <v>0</v>
      </c>
      <c r="L14" s="63">
        <f>Weely!K5</f>
        <v>0</v>
      </c>
      <c r="M14" s="63">
        <f>Weely!M5</f>
        <v>0</v>
      </c>
      <c r="N14" s="27">
        <f>Daily!D5</f>
        <v>0</v>
      </c>
      <c r="O14" s="27">
        <f>Daily!E5</f>
        <v>0</v>
      </c>
      <c r="P14" s="63">
        <f>Daily!F5</f>
        <v>0</v>
      </c>
      <c r="Q14" s="63">
        <f>MTD!D5</f>
        <v>0</v>
      </c>
      <c r="R14" s="63">
        <f>MTD!E5</f>
        <v>0</v>
      </c>
      <c r="S14" s="63">
        <f>MTD!F5</f>
        <v>0</v>
      </c>
      <c r="T14" s="63">
        <f>YTD!E5</f>
        <v>0</v>
      </c>
      <c r="U14" s="6">
        <f>PrevFY!E5</f>
        <v>0</v>
      </c>
    </row>
    <row r="15" spans="1:21">
      <c r="A15" s="84"/>
      <c r="B15" s="74"/>
      <c r="C15" s="90" t="s">
        <v>30</v>
      </c>
      <c r="D15" s="74"/>
      <c r="E15" s="90" t="s">
        <v>2</v>
      </c>
      <c r="F15" s="73"/>
      <c r="G15" s="73"/>
      <c r="H15" s="74"/>
      <c r="I15" s="82" t="s">
        <v>31</v>
      </c>
      <c r="J15" s="73"/>
      <c r="K15" s="73"/>
      <c r="L15" s="73"/>
      <c r="M15" s="74"/>
      <c r="N15" s="90" t="s">
        <v>15</v>
      </c>
      <c r="O15" s="73"/>
      <c r="P15" s="74"/>
      <c r="Q15" s="11"/>
      <c r="R15" s="12"/>
      <c r="S15" s="12"/>
      <c r="T15" s="12"/>
      <c r="U15" s="13"/>
    </row>
    <row r="16" spans="1:21">
      <c r="A16" s="94"/>
      <c r="B16" s="74"/>
      <c r="C16" s="33" t="s">
        <v>32</v>
      </c>
      <c r="D16" s="59" t="s">
        <v>33</v>
      </c>
      <c r="E16" s="33" t="s">
        <v>32</v>
      </c>
      <c r="F16" s="59" t="s">
        <v>33</v>
      </c>
      <c r="G16" s="34" t="s">
        <v>34</v>
      </c>
      <c r="H16" s="14" t="s">
        <v>35</v>
      </c>
      <c r="I16" s="59" t="s">
        <v>21</v>
      </c>
      <c r="J16" s="59" t="s">
        <v>22</v>
      </c>
      <c r="K16" s="59" t="s">
        <v>23</v>
      </c>
      <c r="L16" s="59" t="s">
        <v>24</v>
      </c>
      <c r="M16" s="59" t="s">
        <v>25</v>
      </c>
      <c r="N16" s="59" t="s">
        <v>36</v>
      </c>
      <c r="O16" s="59" t="s">
        <v>33</v>
      </c>
      <c r="P16" s="59" t="s">
        <v>37</v>
      </c>
      <c r="Q16" s="15"/>
      <c r="R16" s="1"/>
      <c r="S16" s="1"/>
      <c r="T16" s="1"/>
      <c r="U16" s="13"/>
    </row>
    <row r="17" spans="1:21">
      <c r="A17" s="16" t="s">
        <v>38</v>
      </c>
      <c r="B17" s="17" t="s">
        <v>39</v>
      </c>
      <c r="C17" s="39">
        <v>68</v>
      </c>
      <c r="D17" s="39">
        <v>68</v>
      </c>
      <c r="E17" s="45">
        <f>Monthly!E12</f>
        <v>0</v>
      </c>
      <c r="F17" s="47">
        <f>Monthly!E3</f>
        <v>0</v>
      </c>
      <c r="G17" s="49">
        <f>YTD!E12</f>
        <v>0</v>
      </c>
      <c r="H17" s="51">
        <f>YTD!E3</f>
        <v>0</v>
      </c>
      <c r="I17" s="63">
        <f>Weely!E12</f>
        <v>0</v>
      </c>
      <c r="J17" s="51">
        <f>Weely!G12</f>
        <v>0</v>
      </c>
      <c r="K17" s="63">
        <f>Weely!I12</f>
        <v>0</v>
      </c>
      <c r="L17" s="63">
        <f>Weely!K12</f>
        <v>0</v>
      </c>
      <c r="M17" s="63">
        <f>Weely!M12</f>
        <v>0</v>
      </c>
      <c r="N17" s="53">
        <f>Daily!E13</f>
        <v>0</v>
      </c>
      <c r="O17" s="55">
        <f>Daily!E3</f>
        <v>0</v>
      </c>
      <c r="P17" s="63">
        <f>SUM(N17:O17)</f>
        <v>0</v>
      </c>
      <c r="Q17" s="15"/>
      <c r="R17" s="1"/>
      <c r="S17" s="1"/>
      <c r="T17" s="1"/>
      <c r="U17" s="13"/>
    </row>
    <row r="18" spans="1:21">
      <c r="A18" s="18" t="s">
        <v>40</v>
      </c>
      <c r="B18" s="17" t="s">
        <v>39</v>
      </c>
      <c r="C18" s="36">
        <v>68</v>
      </c>
      <c r="D18" s="36">
        <v>68</v>
      </c>
      <c r="E18" s="36">
        <v>4</v>
      </c>
      <c r="F18" s="36">
        <v>4</v>
      </c>
      <c r="G18" s="36">
        <v>4</v>
      </c>
      <c r="H18" s="36">
        <v>4</v>
      </c>
      <c r="I18" s="36">
        <v>0</v>
      </c>
      <c r="J18" s="36" t="s">
        <v>150</v>
      </c>
      <c r="K18" s="36">
        <v>0</v>
      </c>
      <c r="L18" s="36">
        <v>0</v>
      </c>
      <c r="M18" s="36">
        <v>0</v>
      </c>
      <c r="N18" s="37" t="s">
        <v>150</v>
      </c>
      <c r="O18" s="37" t="s">
        <v>150</v>
      </c>
      <c r="P18" s="63">
        <f>SUM(N18:O18)</f>
        <v>0</v>
      </c>
      <c r="Q18" s="1"/>
      <c r="R18" s="1"/>
      <c r="S18" s="1"/>
      <c r="T18" s="1"/>
      <c r="U18" s="13"/>
    </row>
    <row r="19" spans="1:21">
      <c r="A19" s="31"/>
      <c r="B19" s="8"/>
      <c r="C19" s="8"/>
      <c r="D19" s="8"/>
      <c r="E19" s="8"/>
      <c r="F19" s="8"/>
      <c r="G19" s="8"/>
      <c r="H19" s="8"/>
      <c r="I19" s="82" t="s">
        <v>41</v>
      </c>
      <c r="J19" s="73"/>
      <c r="K19" s="73"/>
      <c r="L19" s="73"/>
      <c r="M19" s="74"/>
      <c r="N19" s="8"/>
      <c r="O19" s="8"/>
      <c r="P19" s="8"/>
      <c r="Q19" s="8"/>
      <c r="R19" s="8"/>
      <c r="S19" s="8"/>
      <c r="T19" s="8"/>
      <c r="U19" s="19"/>
    </row>
    <row r="20" spans="1:21">
      <c r="A20" s="5"/>
      <c r="I20" s="59" t="s">
        <v>21</v>
      </c>
      <c r="J20" s="59" t="s">
        <v>22</v>
      </c>
      <c r="K20" s="59" t="s">
        <v>23</v>
      </c>
      <c r="L20" s="59" t="s">
        <v>24</v>
      </c>
      <c r="M20" s="59" t="s">
        <v>25</v>
      </c>
      <c r="U20" s="7"/>
    </row>
    <row r="21" spans="1:21">
      <c r="A21" s="5"/>
      <c r="I21" s="36">
        <v>0</v>
      </c>
      <c r="J21" s="36" t="s">
        <v>150</v>
      </c>
      <c r="K21" s="36">
        <v>0</v>
      </c>
      <c r="L21" s="36">
        <v>0</v>
      </c>
      <c r="M21" s="36">
        <v>0</v>
      </c>
      <c r="U21" s="7"/>
    </row>
    <row r="22" spans="1:21">
      <c r="A22" s="5"/>
      <c r="H22" s="20" t="s">
        <v>39</v>
      </c>
      <c r="I22" s="36">
        <v>0</v>
      </c>
      <c r="J22" s="36" t="s">
        <v>150</v>
      </c>
      <c r="K22" s="36">
        <v>0</v>
      </c>
      <c r="L22" s="36">
        <v>0</v>
      </c>
      <c r="M22" s="36">
        <v>0</v>
      </c>
      <c r="U22" s="7"/>
    </row>
    <row r="23" spans="1:21">
      <c r="A23" s="5"/>
      <c r="I23" s="82" t="s">
        <v>42</v>
      </c>
      <c r="J23" s="73"/>
      <c r="K23" s="73"/>
      <c r="L23" s="73"/>
      <c r="M23" s="74"/>
      <c r="N23" s="100" t="s">
        <v>15</v>
      </c>
      <c r="O23" s="73"/>
      <c r="P23" s="74"/>
      <c r="U23" s="7"/>
    </row>
    <row r="24" spans="1:21">
      <c r="A24" s="94"/>
      <c r="B24" s="74"/>
      <c r="C24" s="59" t="s">
        <v>28</v>
      </c>
      <c r="D24" s="59" t="s">
        <v>29</v>
      </c>
      <c r="E24" s="59" t="s">
        <v>28</v>
      </c>
      <c r="F24" s="59" t="s">
        <v>29</v>
      </c>
      <c r="G24" s="59" t="s">
        <v>43</v>
      </c>
      <c r="H24" s="59" t="s">
        <v>44</v>
      </c>
      <c r="I24" s="59" t="s">
        <v>21</v>
      </c>
      <c r="J24" s="59" t="s">
        <v>22</v>
      </c>
      <c r="K24" s="59" t="s">
        <v>23</v>
      </c>
      <c r="L24" s="59" t="s">
        <v>24</v>
      </c>
      <c r="M24" s="59" t="s">
        <v>25</v>
      </c>
      <c r="N24" s="59" t="s">
        <v>28</v>
      </c>
      <c r="O24" s="59" t="s">
        <v>29</v>
      </c>
      <c r="P24" s="59" t="s">
        <v>37</v>
      </c>
      <c r="Q24" s="15"/>
      <c r="R24" s="1"/>
      <c r="S24" s="1"/>
      <c r="T24" s="1"/>
      <c r="U24" s="13"/>
    </row>
    <row r="25" spans="1:21">
      <c r="A25" s="16" t="s">
        <v>38</v>
      </c>
      <c r="B25" s="17" t="s">
        <v>39</v>
      </c>
      <c r="C25" s="26">
        <f>PrevFY!E18</f>
        <v>0</v>
      </c>
      <c r="D25" s="26">
        <f>PrevFY!E9</f>
        <v>0</v>
      </c>
      <c r="E25" s="63">
        <f>Monthly!E18</f>
        <v>0</v>
      </c>
      <c r="F25" s="63">
        <f>Monthly!E9</f>
        <v>0</v>
      </c>
      <c r="G25" s="63">
        <f>YTD!E18</f>
        <v>0</v>
      </c>
      <c r="H25" s="63">
        <f>YTD!E9</f>
        <v>0</v>
      </c>
      <c r="I25" s="63">
        <f>Weely!E18</f>
        <v>0</v>
      </c>
      <c r="J25" s="63">
        <f>Weely!G18</f>
        <v>0</v>
      </c>
      <c r="K25" s="63">
        <f>Weely!I18</f>
        <v>0</v>
      </c>
      <c r="L25" s="63">
        <f>Weely!K18</f>
        <v>0</v>
      </c>
      <c r="M25" s="63">
        <f>Weely!M18</f>
        <v>0</v>
      </c>
      <c r="N25" s="63">
        <f>Daily!E19</f>
        <v>0</v>
      </c>
      <c r="O25" s="63">
        <f>Daily!E9</f>
        <v>0</v>
      </c>
      <c r="P25" s="63">
        <f>SUM(N25:O25)</f>
        <v>0</v>
      </c>
      <c r="Q25" s="15"/>
      <c r="R25" s="1"/>
      <c r="S25" s="1"/>
      <c r="T25" s="1"/>
      <c r="U25" s="13"/>
    </row>
    <row r="26" spans="1:21">
      <c r="A26" s="18" t="s">
        <v>40</v>
      </c>
      <c r="B26" s="17" t="s">
        <v>39</v>
      </c>
      <c r="C26" s="63">
        <f>PrevFY!E38</f>
        <v>0</v>
      </c>
      <c r="D26" s="63">
        <f>PrevFY!E28</f>
        <v>0</v>
      </c>
      <c r="E26" s="63">
        <f>Monthly!E38</f>
        <v>0</v>
      </c>
      <c r="F26" s="63">
        <f>Monthly!E28</f>
        <v>0</v>
      </c>
      <c r="G26" s="63">
        <f>YTD!E38</f>
        <v>0</v>
      </c>
      <c r="H26" s="63">
        <f>YTD!E28</f>
        <v>0</v>
      </c>
      <c r="I26" s="63">
        <f>Weely!E38</f>
        <v>0</v>
      </c>
      <c r="J26" s="63">
        <f>Weely!G38</f>
        <v>0</v>
      </c>
      <c r="K26" s="63">
        <f>Weely!I38</f>
        <v>0</v>
      </c>
      <c r="L26" s="63">
        <f>Weely!K38</f>
        <v>0</v>
      </c>
      <c r="M26" s="63">
        <f>Weely!M38</f>
        <v>0</v>
      </c>
      <c r="N26" s="27">
        <f>Daily!E38</f>
        <v>0</v>
      </c>
      <c r="O26" s="27">
        <f>Daily!E28</f>
        <v>0</v>
      </c>
      <c r="P26" s="63">
        <f>SUM(N26:O26)</f>
        <v>0</v>
      </c>
      <c r="Q26" s="1"/>
      <c r="R26" s="1"/>
      <c r="S26" s="1"/>
      <c r="T26" s="1"/>
      <c r="U26" s="13"/>
    </row>
    <row r="27" spans="1:21">
      <c r="A27" s="31"/>
      <c r="B27" s="8"/>
      <c r="C27" s="8"/>
      <c r="D27" s="8"/>
      <c r="E27" s="8"/>
      <c r="F27" s="8"/>
      <c r="G27" s="8"/>
      <c r="H27" s="8"/>
      <c r="I27" s="82" t="s">
        <v>45</v>
      </c>
      <c r="J27" s="73"/>
      <c r="K27" s="73"/>
      <c r="L27" s="73"/>
      <c r="M27" s="74"/>
      <c r="N27" s="8"/>
      <c r="O27" s="8"/>
      <c r="P27" s="8"/>
      <c r="Q27" s="8"/>
      <c r="R27" s="8"/>
      <c r="S27" s="8"/>
      <c r="T27" s="8"/>
      <c r="U27" s="19"/>
    </row>
    <row r="28" spans="1:21">
      <c r="A28" s="5"/>
      <c r="I28" s="59" t="s">
        <v>21</v>
      </c>
      <c r="J28" s="59" t="s">
        <v>22</v>
      </c>
      <c r="K28" s="59" t="s">
        <v>23</v>
      </c>
      <c r="L28" s="59" t="s">
        <v>24</v>
      </c>
      <c r="M28" s="59" t="s">
        <v>25</v>
      </c>
      <c r="U28" s="7"/>
    </row>
    <row r="29" spans="1:21">
      <c r="A29" s="5"/>
      <c r="I29" s="63">
        <f>Weely!E8</f>
        <v>0</v>
      </c>
      <c r="J29" s="63">
        <f>Weely!G8</f>
        <v>0</v>
      </c>
      <c r="K29" s="63">
        <f>Weely!I8</f>
        <v>0</v>
      </c>
      <c r="L29" s="63">
        <f>Weely!K8</f>
        <v>0</v>
      </c>
      <c r="M29" s="63">
        <f>Weely!M8</f>
        <v>0</v>
      </c>
      <c r="U29" s="7"/>
    </row>
    <row r="30" spans="1:21">
      <c r="A30" s="5"/>
      <c r="H30" s="20" t="s">
        <v>39</v>
      </c>
      <c r="I30" s="63">
        <f>Weely!E9</f>
        <v>0</v>
      </c>
      <c r="J30" s="63">
        <f>Weely!G9</f>
        <v>0</v>
      </c>
      <c r="K30" s="63">
        <f>Weely!I9</f>
        <v>0</v>
      </c>
      <c r="L30" s="63">
        <f>Weely!K9</f>
        <v>0</v>
      </c>
      <c r="M30" s="63">
        <f>Weely!M9</f>
        <v>0</v>
      </c>
      <c r="U30" s="7"/>
    </row>
    <row r="31" spans="1:21">
      <c r="A31" s="5"/>
      <c r="K31" s="8"/>
      <c r="L31" s="8"/>
      <c r="M31" s="8"/>
      <c r="U31" s="7"/>
    </row>
    <row r="32" spans="1:21" ht="15.6">
      <c r="A32" s="5"/>
      <c r="D32" s="101" t="s">
        <v>149</v>
      </c>
      <c r="E32" s="101"/>
      <c r="F32" s="101"/>
      <c r="G32" s="101"/>
      <c r="H32" s="101"/>
      <c r="I32" s="101"/>
      <c r="J32" s="101"/>
      <c r="K32" s="8"/>
      <c r="L32" s="8"/>
      <c r="M32" s="8"/>
      <c r="U32" s="7"/>
    </row>
    <row r="33" spans="1:25" s="1" customFormat="1" ht="43.2" customHeight="1">
      <c r="A33" s="70"/>
      <c r="D33" s="69" t="s">
        <v>47</v>
      </c>
      <c r="E33" s="42" t="s">
        <v>48</v>
      </c>
      <c r="F33" s="42" t="s">
        <v>49</v>
      </c>
      <c r="G33" s="34" t="s">
        <v>51</v>
      </c>
      <c r="H33" s="43" t="s">
        <v>52</v>
      </c>
      <c r="I33" s="41" t="s">
        <v>53</v>
      </c>
      <c r="J33" s="57" t="s">
        <v>61</v>
      </c>
      <c r="U33" s="7"/>
      <c r="V33" s="23"/>
      <c r="W33" s="24"/>
      <c r="X33" s="24"/>
      <c r="Y33" s="22"/>
    </row>
    <row r="34" spans="1:25">
      <c r="A34" s="5"/>
      <c r="D34" s="27" t="s">
        <v>147</v>
      </c>
      <c r="E34" s="25">
        <v>8.3000000000000007</v>
      </c>
      <c r="F34" s="25">
        <v>17.3</v>
      </c>
      <c r="G34" s="58">
        <v>490</v>
      </c>
      <c r="H34" s="27">
        <v>10</v>
      </c>
      <c r="I34" s="29">
        <v>5</v>
      </c>
      <c r="J34" s="58" t="e">
        <f t="shared" ref="J34" si="0">IF(#REF!&gt;0, ROUND((#REF!-#REF!)/#REF!*100, 0), 0)</f>
        <v>#REF!</v>
      </c>
      <c r="U34" s="7"/>
      <c r="V34" s="21"/>
      <c r="X34" s="8"/>
    </row>
    <row r="35" spans="1:25">
      <c r="A35" s="5"/>
      <c r="H35" t="s">
        <v>148</v>
      </c>
      <c r="U35" s="7"/>
      <c r="V35" s="21"/>
      <c r="X35" s="8"/>
    </row>
    <row r="36" spans="1:25">
      <c r="A36" s="95" t="s">
        <v>46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96"/>
    </row>
    <row r="37" spans="1:25" s="1" customFormat="1" ht="43.2" customHeight="1">
      <c r="A37" s="60" t="s">
        <v>50</v>
      </c>
      <c r="B37" s="34" t="s">
        <v>54</v>
      </c>
      <c r="C37" s="40" t="s">
        <v>55</v>
      </c>
      <c r="D37" s="40" t="s">
        <v>56</v>
      </c>
      <c r="E37" s="40" t="s">
        <v>57</v>
      </c>
      <c r="F37" s="40" t="s">
        <v>58</v>
      </c>
      <c r="G37" s="40" t="s">
        <v>59</v>
      </c>
      <c r="H37" s="97" t="s">
        <v>60</v>
      </c>
      <c r="I37" s="98"/>
      <c r="J37" s="99"/>
      <c r="U37" s="7"/>
      <c r="V37" s="23"/>
      <c r="W37" s="24"/>
      <c r="X37" s="24"/>
      <c r="Y37" s="22"/>
    </row>
    <row r="38" spans="1:25">
      <c r="A38" s="71" t="s">
        <v>62</v>
      </c>
      <c r="B38" s="29">
        <v>13</v>
      </c>
      <c r="C38" s="29">
        <v>0</v>
      </c>
      <c r="D38" s="29">
        <v>7.2</v>
      </c>
      <c r="E38" s="29">
        <v>5.4</v>
      </c>
      <c r="F38" s="29">
        <v>14.1</v>
      </c>
      <c r="G38" s="29">
        <v>0</v>
      </c>
      <c r="H38" s="102"/>
      <c r="I38" s="73"/>
      <c r="J38" s="74"/>
      <c r="U38" s="7"/>
      <c r="V38" s="21"/>
      <c r="X38" s="8"/>
    </row>
    <row r="39" spans="1:25">
      <c r="A39" s="71" t="s">
        <v>63</v>
      </c>
      <c r="B39" s="29">
        <v>12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102"/>
      <c r="I39" s="73"/>
      <c r="J39" s="74"/>
      <c r="U39" s="7"/>
    </row>
    <row r="40" spans="1:25">
      <c r="A40" s="71" t="s">
        <v>64</v>
      </c>
      <c r="B40" s="29">
        <v>11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102"/>
      <c r="I40" s="73"/>
      <c r="J40" s="74"/>
      <c r="U40" s="7"/>
    </row>
    <row r="41" spans="1:25">
      <c r="A41" s="71" t="s">
        <v>65</v>
      </c>
      <c r="B41" s="29">
        <v>20</v>
      </c>
      <c r="C41" s="29">
        <v>67.599999999999994</v>
      </c>
      <c r="D41" s="29">
        <v>0</v>
      </c>
      <c r="E41" s="29">
        <v>0</v>
      </c>
      <c r="F41" s="29">
        <v>0</v>
      </c>
      <c r="G41" s="29">
        <v>0</v>
      </c>
      <c r="H41" s="102"/>
      <c r="I41" s="73"/>
      <c r="J41" s="74"/>
      <c r="U41" s="7"/>
    </row>
    <row r="42" spans="1:25">
      <c r="A42" s="71" t="s">
        <v>66</v>
      </c>
      <c r="B42" s="29">
        <v>25</v>
      </c>
      <c r="C42" s="29">
        <v>0</v>
      </c>
      <c r="D42" s="29">
        <v>0</v>
      </c>
      <c r="E42" s="29">
        <v>0</v>
      </c>
      <c r="F42" s="29">
        <v>113.8</v>
      </c>
      <c r="G42" s="29">
        <v>0</v>
      </c>
      <c r="H42" s="102"/>
      <c r="I42" s="73"/>
      <c r="J42" s="74"/>
      <c r="U42" s="7"/>
    </row>
    <row r="43" spans="1:25">
      <c r="A43" s="71" t="s">
        <v>67</v>
      </c>
      <c r="B43" s="29">
        <v>55</v>
      </c>
      <c r="C43" s="29">
        <v>166.7</v>
      </c>
      <c r="D43" s="29">
        <v>0</v>
      </c>
      <c r="E43" s="29">
        <v>0</v>
      </c>
      <c r="F43" s="29">
        <v>0</v>
      </c>
      <c r="G43" s="29">
        <v>0</v>
      </c>
      <c r="H43" s="102"/>
      <c r="I43" s="73"/>
      <c r="J43" s="74"/>
      <c r="U43" s="7"/>
    </row>
    <row r="44" spans="1:25">
      <c r="A44" s="5"/>
      <c r="U44" s="7"/>
    </row>
    <row r="45" spans="1:25">
      <c r="A45" s="91" t="s">
        <v>68</v>
      </c>
      <c r="B45" s="85"/>
      <c r="C45" s="85"/>
      <c r="D45" s="86"/>
      <c r="E45" s="103">
        <v>46182</v>
      </c>
      <c r="F45" s="73"/>
      <c r="G45" s="73"/>
      <c r="H45" s="73"/>
      <c r="I45" s="73"/>
      <c r="J45" s="73"/>
      <c r="K45" s="73"/>
      <c r="L45" s="73"/>
      <c r="M45" s="73"/>
      <c r="N45" s="74"/>
      <c r="O45" s="104"/>
      <c r="P45" s="85"/>
      <c r="Q45" s="85"/>
      <c r="R45" s="85"/>
      <c r="S45" s="85"/>
      <c r="T45" s="85"/>
      <c r="U45" s="105"/>
    </row>
    <row r="46" spans="1:25">
      <c r="A46" s="87"/>
      <c r="B46" s="88"/>
      <c r="C46" s="88"/>
      <c r="D46" s="89"/>
      <c r="E46" s="108" t="s">
        <v>69</v>
      </c>
      <c r="F46" s="73"/>
      <c r="G46" s="73"/>
      <c r="H46" s="73"/>
      <c r="I46" s="73"/>
      <c r="J46" s="73"/>
      <c r="K46" s="73"/>
      <c r="L46" s="73"/>
      <c r="M46" s="73"/>
      <c r="N46" s="74"/>
      <c r="O46" s="106"/>
      <c r="P46" s="88"/>
      <c r="Q46" s="88"/>
      <c r="R46" s="88"/>
      <c r="S46" s="88"/>
      <c r="T46" s="88"/>
      <c r="U46" s="107"/>
    </row>
    <row r="47" spans="1:25" s="2" customFormat="1">
      <c r="A47" s="109" t="s">
        <v>70</v>
      </c>
      <c r="B47" s="73"/>
      <c r="C47" s="73"/>
      <c r="D47" s="74"/>
      <c r="E47" s="62" t="s">
        <v>38</v>
      </c>
      <c r="F47" s="62" t="s">
        <v>71</v>
      </c>
      <c r="G47" s="61" t="s">
        <v>72</v>
      </c>
      <c r="H47" s="61" t="s">
        <v>73</v>
      </c>
      <c r="I47" s="61" t="s">
        <v>74</v>
      </c>
      <c r="J47" s="61" t="s">
        <v>75</v>
      </c>
      <c r="K47" s="110" t="s">
        <v>76</v>
      </c>
      <c r="L47" s="111"/>
      <c r="M47" s="110" t="s">
        <v>77</v>
      </c>
      <c r="N47" s="111"/>
      <c r="O47" s="112" t="s">
        <v>78</v>
      </c>
      <c r="P47" s="113"/>
      <c r="Q47" s="113"/>
      <c r="R47" s="111"/>
      <c r="S47" s="110" t="s">
        <v>79</v>
      </c>
      <c r="T47" s="113"/>
      <c r="U47" s="114"/>
    </row>
    <row r="48" spans="1:25">
      <c r="A48" s="84" t="s">
        <v>80</v>
      </c>
      <c r="B48" s="73"/>
      <c r="C48" s="73"/>
      <c r="D48" s="74"/>
      <c r="E48" s="65">
        <f>'Line Stop_Prod Loss'!G5</f>
        <v>0.5</v>
      </c>
      <c r="F48" s="65">
        <f>'Line Stop_Prod Loss'!H5</f>
        <v>73.7</v>
      </c>
      <c r="G48" s="65">
        <f>'Line Stop_Prod Loss'!F5</f>
        <v>0</v>
      </c>
      <c r="H48" s="65">
        <f>'Line Stop_Prod Loss'!E5</f>
        <v>0</v>
      </c>
      <c r="I48" s="65">
        <f>'Line Stop_Prod Loss'!D5</f>
        <v>0</v>
      </c>
      <c r="J48" s="65">
        <f>'Line Stop_Prod Loss'!C5</f>
        <v>0</v>
      </c>
      <c r="K48" s="65">
        <v>0</v>
      </c>
      <c r="L48" s="65">
        <v>0</v>
      </c>
      <c r="M48" s="65">
        <v>0</v>
      </c>
      <c r="N48" s="65">
        <v>0</v>
      </c>
      <c r="O48" s="115"/>
      <c r="P48" s="113"/>
      <c r="Q48" s="113"/>
      <c r="R48" s="111"/>
      <c r="S48" s="116"/>
      <c r="T48" s="113"/>
      <c r="U48" s="114"/>
    </row>
    <row r="49" spans="1:21">
      <c r="A49" s="84" t="s">
        <v>82</v>
      </c>
      <c r="B49" s="73"/>
      <c r="C49" s="73"/>
      <c r="D49" s="74"/>
      <c r="E49" s="28">
        <f>'Line Stop_Prod Loss'!G6</f>
        <v>156.30000000000001</v>
      </c>
      <c r="F49" s="28">
        <f>'Line Stop_Prod Loss'!H6</f>
        <v>0</v>
      </c>
      <c r="G49" s="28">
        <f>'Line Stop_Prod Loss'!F6</f>
        <v>0</v>
      </c>
      <c r="H49" s="28">
        <f>'Line Stop_Prod Loss'!E6</f>
        <v>0</v>
      </c>
      <c r="I49" s="28">
        <f>'Line Stop_Prod Loss'!D6</f>
        <v>0</v>
      </c>
      <c r="J49" s="28">
        <f>'Line Stop_Prod Loss'!C6</f>
        <v>0</v>
      </c>
      <c r="K49" s="28">
        <v>0</v>
      </c>
      <c r="L49" s="28">
        <v>0</v>
      </c>
      <c r="M49" s="28">
        <v>0</v>
      </c>
      <c r="N49" s="28">
        <v>0</v>
      </c>
      <c r="O49" s="115"/>
      <c r="P49" s="113"/>
      <c r="Q49" s="113"/>
      <c r="R49" s="111"/>
      <c r="S49" s="116"/>
      <c r="T49" s="113"/>
      <c r="U49" s="114"/>
    </row>
    <row r="50" spans="1:21">
      <c r="A50" s="84" t="s">
        <v>84</v>
      </c>
      <c r="B50" s="73"/>
      <c r="C50" s="73"/>
      <c r="D50" s="74"/>
      <c r="E50" s="28">
        <f>'Line Stop_Prod Loss'!G7</f>
        <v>0</v>
      </c>
      <c r="F50" s="28">
        <f>'Line Stop_Prod Loss'!H7</f>
        <v>0.2</v>
      </c>
      <c r="G50" s="28">
        <f>'Line Stop_Prod Loss'!F7</f>
        <v>0</v>
      </c>
      <c r="H50" s="28">
        <f>'Line Stop_Prod Loss'!E7</f>
        <v>0</v>
      </c>
      <c r="I50" s="28">
        <f>'Line Stop_Prod Loss'!D7</f>
        <v>0</v>
      </c>
      <c r="J50" s="28">
        <f>'Line Stop_Prod Loss'!C7</f>
        <v>0</v>
      </c>
      <c r="K50" s="28">
        <v>0</v>
      </c>
      <c r="L50" s="28">
        <v>0</v>
      </c>
      <c r="M50" s="28">
        <v>0</v>
      </c>
      <c r="N50" s="28">
        <v>0</v>
      </c>
      <c r="O50" s="115"/>
      <c r="P50" s="113"/>
      <c r="Q50" s="113"/>
      <c r="R50" s="111"/>
      <c r="S50" s="116"/>
      <c r="T50" s="113"/>
      <c r="U50" s="114"/>
    </row>
    <row r="51" spans="1:21">
      <c r="A51" s="84" t="s">
        <v>85</v>
      </c>
      <c r="B51" s="73"/>
      <c r="C51" s="73"/>
      <c r="D51" s="74"/>
      <c r="E51" s="28">
        <f>'Line Stop_Prod Loss'!G8</f>
        <v>0.1</v>
      </c>
      <c r="F51" s="28">
        <f>'Line Stop_Prod Loss'!H8</f>
        <v>0.1</v>
      </c>
      <c r="G51" s="28">
        <f>'Line Stop_Prod Loss'!F8</f>
        <v>0</v>
      </c>
      <c r="H51" s="28">
        <f>'Line Stop_Prod Loss'!E8</f>
        <v>0</v>
      </c>
      <c r="I51" s="28">
        <f>'Line Stop_Prod Loss'!D8</f>
        <v>0</v>
      </c>
      <c r="J51" s="28">
        <f>'Line Stop_Prod Loss'!C8</f>
        <v>0</v>
      </c>
      <c r="K51" s="28">
        <v>0</v>
      </c>
      <c r="L51" s="28">
        <v>0</v>
      </c>
      <c r="M51" s="28">
        <v>0</v>
      </c>
      <c r="N51" s="28">
        <v>0</v>
      </c>
      <c r="O51" s="115"/>
      <c r="P51" s="113"/>
      <c r="Q51" s="113"/>
      <c r="R51" s="111"/>
      <c r="S51" s="116"/>
      <c r="T51" s="113"/>
      <c r="U51" s="114"/>
    </row>
    <row r="52" spans="1:21" ht="15" customHeight="1" thickBot="1">
      <c r="A52" s="117" t="s">
        <v>87</v>
      </c>
      <c r="B52" s="118"/>
      <c r="C52" s="118"/>
      <c r="D52" s="119"/>
      <c r="E52" s="68">
        <f>'Line Stop_Prod Loss'!G9</f>
        <v>0</v>
      </c>
      <c r="F52" s="68">
        <f>'Line Stop_Prod Loss'!H9</f>
        <v>0</v>
      </c>
      <c r="G52" s="68">
        <f>'Line Stop_Prod Loss'!F9</f>
        <v>0</v>
      </c>
      <c r="H52" s="68">
        <f>'Line Stop_Prod Loss'!E9</f>
        <v>0</v>
      </c>
      <c r="I52" s="68">
        <f>'Line Stop_Prod Loss'!D9</f>
        <v>0</v>
      </c>
      <c r="J52" s="68">
        <f>'Line Stop_Prod Loss'!C9</f>
        <v>0</v>
      </c>
      <c r="K52" s="68">
        <v>0</v>
      </c>
      <c r="L52" s="68">
        <v>0</v>
      </c>
      <c r="M52" s="68">
        <v>0</v>
      </c>
      <c r="N52" s="68">
        <v>0</v>
      </c>
      <c r="O52" s="120"/>
      <c r="P52" s="121"/>
      <c r="Q52" s="121"/>
      <c r="R52" s="122"/>
      <c r="S52" s="123"/>
      <c r="T52" s="121"/>
      <c r="U52" s="124"/>
    </row>
    <row r="53" spans="1:21">
      <c r="L53" s="1"/>
    </row>
  </sheetData>
  <mergeCells count="64">
    <mergeCell ref="A52:D52"/>
    <mergeCell ref="O52:R52"/>
    <mergeCell ref="S52:U52"/>
    <mergeCell ref="A50:D50"/>
    <mergeCell ref="O50:R50"/>
    <mergeCell ref="S50:U50"/>
    <mergeCell ref="A51:D51"/>
    <mergeCell ref="O51:R51"/>
    <mergeCell ref="S51:U51"/>
    <mergeCell ref="A48:D48"/>
    <mergeCell ref="O48:R48"/>
    <mergeCell ref="S48:U48"/>
    <mergeCell ref="A49:D49"/>
    <mergeCell ref="O49:R49"/>
    <mergeCell ref="S49:U49"/>
    <mergeCell ref="A45:D46"/>
    <mergeCell ref="E45:N45"/>
    <mergeCell ref="O45:U46"/>
    <mergeCell ref="E46:N46"/>
    <mergeCell ref="A47:D47"/>
    <mergeCell ref="K47:L47"/>
    <mergeCell ref="M47:N47"/>
    <mergeCell ref="O47:R47"/>
    <mergeCell ref="S47:U47"/>
    <mergeCell ref="H42:J42"/>
    <mergeCell ref="H43:J43"/>
    <mergeCell ref="H40:J40"/>
    <mergeCell ref="H41:J41"/>
    <mergeCell ref="H38:J38"/>
    <mergeCell ref="H39:J39"/>
    <mergeCell ref="A24:B24"/>
    <mergeCell ref="I27:M27"/>
    <mergeCell ref="A36:U36"/>
    <mergeCell ref="H37:J37"/>
    <mergeCell ref="E15:H15"/>
    <mergeCell ref="I15:M15"/>
    <mergeCell ref="N15:P15"/>
    <mergeCell ref="A16:B16"/>
    <mergeCell ref="I19:M19"/>
    <mergeCell ref="I23:M23"/>
    <mergeCell ref="N23:P23"/>
    <mergeCell ref="A15:B15"/>
    <mergeCell ref="C15:D15"/>
    <mergeCell ref="D32:J32"/>
    <mergeCell ref="A10:D10"/>
    <mergeCell ref="A11:D11"/>
    <mergeCell ref="A12:D12"/>
    <mergeCell ref="A13:D13"/>
    <mergeCell ref="A14:D14"/>
    <mergeCell ref="A8:D9"/>
    <mergeCell ref="E8:G8"/>
    <mergeCell ref="I8:M8"/>
    <mergeCell ref="N8:P8"/>
    <mergeCell ref="Q8:S8"/>
    <mergeCell ref="E9:G9"/>
    <mergeCell ref="I9:M9"/>
    <mergeCell ref="N9:P9"/>
    <mergeCell ref="Q9:S9"/>
    <mergeCell ref="P6:T6"/>
    <mergeCell ref="B5:C5"/>
    <mergeCell ref="A1:U2"/>
    <mergeCell ref="P4:T4"/>
    <mergeCell ref="P5:T5"/>
    <mergeCell ref="B4:C4"/>
  </mergeCells>
  <pageMargins left="0.7" right="0.7" top="0.75" bottom="0.75" header="0.3" footer="0.3"/>
  <pageSetup paperSize="9" scale="49" orientation="landscape" r:id="rId1"/>
  <rowBreaks count="2" manualBreakCount="2">
    <brk id="1" max="20" man="1"/>
    <brk id="78" max="2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2"/>
  <sheetViews>
    <sheetView workbookViewId="0">
      <selection activeCell="L3" sqref="L3"/>
    </sheetView>
  </sheetViews>
  <sheetFormatPr defaultColWidth="9" defaultRowHeight="14.4"/>
  <cols>
    <col min="12" max="12" width="9.6640625" customWidth="1"/>
  </cols>
  <sheetData>
    <row r="1" spans="2:13">
      <c r="B1" t="s">
        <v>88</v>
      </c>
    </row>
    <row r="2" spans="2:13">
      <c r="C2" t="s">
        <v>89</v>
      </c>
      <c r="D2" t="s">
        <v>90</v>
      </c>
      <c r="E2" t="s">
        <v>91</v>
      </c>
      <c r="F2" t="s">
        <v>92</v>
      </c>
      <c r="L2" t="s">
        <v>93</v>
      </c>
      <c r="M2" t="s">
        <v>94</v>
      </c>
    </row>
    <row r="3" spans="2:13"/>
    <row r="11" spans="2:13">
      <c r="B11" t="s">
        <v>95</v>
      </c>
    </row>
    <row r="12" spans="2:13">
      <c r="C12" t="s">
        <v>89</v>
      </c>
      <c r="D12" t="s">
        <v>90</v>
      </c>
      <c r="E12" t="s">
        <v>91</v>
      </c>
      <c r="F12" t="s">
        <v>92</v>
      </c>
    </row>
    <row r="13" spans="2:13"/>
    <row r="20" spans="2:6">
      <c r="B20" t="s">
        <v>96</v>
      </c>
    </row>
    <row r="21" spans="2:6">
      <c r="C21" t="s">
        <v>89</v>
      </c>
      <c r="D21" t="s">
        <v>90</v>
      </c>
      <c r="E21" t="s">
        <v>91</v>
      </c>
      <c r="F21" t="s">
        <v>92</v>
      </c>
    </row>
    <row r="22" spans="2:6"/>
    <row r="30" spans="2:6">
      <c r="B30" t="s">
        <v>97</v>
      </c>
    </row>
    <row r="31" spans="2:6">
      <c r="C31" t="s">
        <v>89</v>
      </c>
      <c r="D31" t="s">
        <v>90</v>
      </c>
      <c r="E31" t="s">
        <v>91</v>
      </c>
      <c r="F31" t="s">
        <v>92</v>
      </c>
    </row>
    <row r="32" spans="2:6"/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4"/>
  <sheetViews>
    <sheetView workbookViewId="0">
      <selection activeCell="B24" sqref="B24"/>
    </sheetView>
  </sheetViews>
  <sheetFormatPr defaultColWidth="9" defaultRowHeight="14.4"/>
  <cols>
    <col min="2" max="2" width="33.109375" customWidth="1"/>
    <col min="3" max="3" width="10.109375" customWidth="1"/>
    <col min="4" max="4" width="9.88671875" customWidth="1"/>
    <col min="5" max="5" width="10" customWidth="1"/>
  </cols>
  <sheetData>
    <row r="2" spans="1:15">
      <c r="B2" t="s">
        <v>98</v>
      </c>
    </row>
    <row r="4" spans="1:15">
      <c r="A4">
        <v>1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 t="s">
        <v>110</v>
      </c>
      <c r="N4" t="s">
        <v>111</v>
      </c>
      <c r="O4" t="s">
        <v>112</v>
      </c>
    </row>
    <row r="5" spans="1:15">
      <c r="B5" t="s">
        <v>80</v>
      </c>
      <c r="C5">
        <v>0</v>
      </c>
      <c r="D5">
        <v>0</v>
      </c>
      <c r="E5">
        <v>0</v>
      </c>
      <c r="F5">
        <v>0</v>
      </c>
      <c r="G5">
        <v>0.5</v>
      </c>
      <c r="H5">
        <v>73.7</v>
      </c>
      <c r="I5">
        <v>74.099999999999994</v>
      </c>
      <c r="N5" t="s">
        <v>81</v>
      </c>
    </row>
    <row r="6" spans="1:15">
      <c r="B6" t="s">
        <v>82</v>
      </c>
      <c r="C6">
        <v>0</v>
      </c>
      <c r="D6">
        <v>0</v>
      </c>
      <c r="E6">
        <v>0</v>
      </c>
      <c r="F6">
        <v>0</v>
      </c>
      <c r="G6">
        <v>156.30000000000001</v>
      </c>
      <c r="H6">
        <v>0</v>
      </c>
      <c r="I6">
        <v>156.30000000000001</v>
      </c>
      <c r="N6" t="s">
        <v>83</v>
      </c>
    </row>
    <row r="7" spans="1:15"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0.2</v>
      </c>
      <c r="I7">
        <v>0.2</v>
      </c>
    </row>
    <row r="8" spans="1:15">
      <c r="B8" t="s">
        <v>85</v>
      </c>
      <c r="C8">
        <v>0</v>
      </c>
      <c r="D8">
        <v>0</v>
      </c>
      <c r="E8">
        <v>0</v>
      </c>
      <c r="F8">
        <v>0</v>
      </c>
      <c r="G8">
        <v>0.1</v>
      </c>
      <c r="H8">
        <v>0.1</v>
      </c>
      <c r="I8">
        <v>0.2</v>
      </c>
      <c r="N8" t="s">
        <v>86</v>
      </c>
    </row>
    <row r="9" spans="1:15">
      <c r="B9" t="s">
        <v>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21" spans="1:15">
      <c r="B21" t="s">
        <v>113</v>
      </c>
    </row>
    <row r="23" spans="1:15">
      <c r="A23">
        <v>2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  <c r="J23" t="s">
        <v>107</v>
      </c>
      <c r="K23" t="s">
        <v>108</v>
      </c>
      <c r="L23" t="s">
        <v>109</v>
      </c>
      <c r="M23" t="s">
        <v>110</v>
      </c>
      <c r="N23" t="s">
        <v>111</v>
      </c>
      <c r="O23" t="s">
        <v>112</v>
      </c>
    </row>
    <row r="24" spans="1:15">
      <c r="B24" t="s">
        <v>80</v>
      </c>
      <c r="C24">
        <v>0</v>
      </c>
      <c r="D24">
        <v>0</v>
      </c>
      <c r="E24">
        <v>0</v>
      </c>
      <c r="F24">
        <v>0</v>
      </c>
      <c r="G24">
        <v>19.600000000000001</v>
      </c>
      <c r="H24">
        <v>974.8</v>
      </c>
      <c r="I24">
        <v>994.4</v>
      </c>
      <c r="N24" t="s">
        <v>114</v>
      </c>
      <c r="O24" t="s">
        <v>115</v>
      </c>
    </row>
    <row r="25" spans="1:15">
      <c r="B25" t="s">
        <v>82</v>
      </c>
      <c r="C25">
        <v>0</v>
      </c>
      <c r="D25">
        <v>0</v>
      </c>
      <c r="E25">
        <v>0</v>
      </c>
      <c r="F25">
        <v>0</v>
      </c>
      <c r="G25">
        <v>1219.0999999999999</v>
      </c>
      <c r="H25">
        <v>89.8</v>
      </c>
      <c r="I25">
        <v>1308.9000000000001</v>
      </c>
      <c r="N25" t="s">
        <v>83</v>
      </c>
      <c r="O25" t="s">
        <v>83</v>
      </c>
    </row>
    <row r="26" spans="1:15">
      <c r="B26" t="s">
        <v>84</v>
      </c>
      <c r="C26">
        <v>0</v>
      </c>
      <c r="D26">
        <v>0</v>
      </c>
      <c r="E26">
        <v>0</v>
      </c>
      <c r="F26">
        <v>0</v>
      </c>
      <c r="G26">
        <v>0.2</v>
      </c>
      <c r="H26">
        <v>111.6</v>
      </c>
      <c r="I26">
        <v>111.8</v>
      </c>
      <c r="N26" t="s">
        <v>116</v>
      </c>
      <c r="O26" t="s">
        <v>117</v>
      </c>
    </row>
    <row r="27" spans="1:15">
      <c r="B27" t="s">
        <v>85</v>
      </c>
      <c r="C27">
        <v>0</v>
      </c>
      <c r="D27">
        <v>0</v>
      </c>
      <c r="E27">
        <v>0</v>
      </c>
      <c r="F27">
        <v>0</v>
      </c>
      <c r="G27">
        <v>0.4</v>
      </c>
      <c r="H27">
        <v>12.7</v>
      </c>
      <c r="I27">
        <v>13</v>
      </c>
      <c r="N27" t="s">
        <v>118</v>
      </c>
      <c r="O27" t="s">
        <v>119</v>
      </c>
    </row>
    <row r="28" spans="1:15">
      <c r="B28" t="s">
        <v>87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41" spans="1:13">
      <c r="B41" t="s">
        <v>120</v>
      </c>
    </row>
    <row r="43" spans="1:13">
      <c r="A43">
        <v>3</v>
      </c>
    </row>
    <row r="44" spans="1:13"/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32"/>
  <sheetViews>
    <sheetView workbookViewId="0">
      <selection activeCell="B24" sqref="B24"/>
    </sheetView>
  </sheetViews>
  <sheetFormatPr defaultColWidth="9" defaultRowHeight="14.4"/>
  <sheetData>
    <row r="1" spans="2:13">
      <c r="B1" t="s">
        <v>88</v>
      </c>
    </row>
    <row r="2" spans="2:13"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</row>
    <row r="3" spans="2:13"/>
    <row r="10" spans="2:13">
      <c r="B10" t="s">
        <v>95</v>
      </c>
    </row>
    <row r="11" spans="2:13"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128</v>
      </c>
      <c r="K11" t="s">
        <v>129</v>
      </c>
      <c r="L11" t="s">
        <v>130</v>
      </c>
      <c r="M11" t="s">
        <v>131</v>
      </c>
    </row>
    <row r="12" spans="2:13"/>
    <row r="20" spans="2:13">
      <c r="B20" t="s">
        <v>96</v>
      </c>
    </row>
    <row r="21" spans="2:13"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127</v>
      </c>
      <c r="J21" t="s">
        <v>128</v>
      </c>
      <c r="K21" t="s">
        <v>129</v>
      </c>
      <c r="L21" t="s">
        <v>130</v>
      </c>
      <c r="M21" t="s">
        <v>131</v>
      </c>
    </row>
    <row r="22" spans="2:13"/>
    <row r="30" spans="2:13">
      <c r="B30" t="s">
        <v>97</v>
      </c>
    </row>
    <row r="31" spans="2:13"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 t="s">
        <v>127</v>
      </c>
      <c r="J31" t="s">
        <v>128</v>
      </c>
      <c r="K31" t="s">
        <v>129</v>
      </c>
      <c r="L31" t="s">
        <v>130</v>
      </c>
      <c r="M31" t="s">
        <v>131</v>
      </c>
    </row>
    <row r="32" spans="2:13"/>
  </sheetData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2"/>
  <sheetViews>
    <sheetView workbookViewId="0">
      <selection activeCell="C31" sqref="C31:F32"/>
    </sheetView>
  </sheetViews>
  <sheetFormatPr defaultColWidth="9" defaultRowHeight="14.4"/>
  <sheetData>
    <row r="1" spans="2:6">
      <c r="B1" t="s">
        <v>88</v>
      </c>
    </row>
    <row r="2" spans="2:6">
      <c r="C2" t="s">
        <v>132</v>
      </c>
      <c r="D2" t="s">
        <v>133</v>
      </c>
      <c r="E2" t="s">
        <v>134</v>
      </c>
      <c r="F2" t="s">
        <v>92</v>
      </c>
    </row>
    <row r="3" spans="2:6"/>
    <row r="10" spans="2:6">
      <c r="B10" t="s">
        <v>95</v>
      </c>
    </row>
    <row r="11" spans="2:6">
      <c r="C11" t="s">
        <v>132</v>
      </c>
      <c r="D11" t="s">
        <v>133</v>
      </c>
      <c r="E11" t="s">
        <v>134</v>
      </c>
      <c r="F11" t="s">
        <v>92</v>
      </c>
    </row>
    <row r="12" spans="2:6"/>
    <row r="20" spans="2:6">
      <c r="B20" t="s">
        <v>96</v>
      </c>
    </row>
    <row r="21" spans="2:6">
      <c r="C21" t="s">
        <v>132</v>
      </c>
      <c r="D21" t="s">
        <v>133</v>
      </c>
      <c r="E21" t="s">
        <v>134</v>
      </c>
      <c r="F21" t="s">
        <v>92</v>
      </c>
    </row>
    <row r="22" spans="2:6"/>
    <row r="30" spans="2:6">
      <c r="B30" t="s">
        <v>97</v>
      </c>
    </row>
    <row r="31" spans="2:6">
      <c r="C31" t="s">
        <v>132</v>
      </c>
      <c r="D31" t="s">
        <v>133</v>
      </c>
      <c r="E31" t="s">
        <v>134</v>
      </c>
      <c r="F31" t="s">
        <v>92</v>
      </c>
    </row>
    <row r="32" spans="2:6"/>
  </sheetData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2"/>
  <sheetViews>
    <sheetView workbookViewId="0">
      <selection activeCell="C11" sqref="C11:F12"/>
    </sheetView>
  </sheetViews>
  <sheetFormatPr defaultColWidth="9" defaultRowHeight="14.4"/>
  <sheetData>
    <row r="1" spans="2:6">
      <c r="B1" t="s">
        <v>88</v>
      </c>
    </row>
    <row r="2" spans="2:6">
      <c r="C2" t="s">
        <v>135</v>
      </c>
      <c r="D2" t="s">
        <v>136</v>
      </c>
      <c r="E2" t="s">
        <v>137</v>
      </c>
      <c r="F2" t="s">
        <v>92</v>
      </c>
    </row>
    <row r="3" spans="2:6"/>
    <row r="10" spans="2:6">
      <c r="B10" t="s">
        <v>95</v>
      </c>
    </row>
    <row r="11" spans="2:6">
      <c r="C11" t="s">
        <v>135</v>
      </c>
      <c r="D11" t="s">
        <v>136</v>
      </c>
      <c r="E11" t="s">
        <v>137</v>
      </c>
      <c r="F11" t="s">
        <v>92</v>
      </c>
    </row>
    <row r="12" spans="2:6"/>
  </sheetData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32"/>
  <sheetViews>
    <sheetView workbookViewId="0">
      <selection activeCell="C31" sqref="C31:F32"/>
    </sheetView>
  </sheetViews>
  <sheetFormatPr defaultColWidth="9" defaultRowHeight="14.4"/>
  <sheetData>
    <row r="1" spans="2:8">
      <c r="B1" t="s">
        <v>88</v>
      </c>
    </row>
    <row r="2" spans="2:8">
      <c r="C2" t="s">
        <v>138</v>
      </c>
      <c r="D2" t="s">
        <v>139</v>
      </c>
      <c r="E2" t="s">
        <v>140</v>
      </c>
      <c r="F2" t="s">
        <v>92</v>
      </c>
    </row>
    <row r="3" spans="2:8">
      <c r="B3" t="s">
        <v>141</v>
      </c>
      <c r="H3" t="str">
        <f>_xlfn.CONCAT(B3,C3)</f>
        <v xml:space="preserve">Micky </v>
      </c>
    </row>
    <row r="10" spans="2:8">
      <c r="B10" t="s">
        <v>95</v>
      </c>
    </row>
    <row r="11" spans="2:8">
      <c r="C11" t="s">
        <v>138</v>
      </c>
      <c r="D11" t="s">
        <v>139</v>
      </c>
      <c r="E11" t="s">
        <v>140</v>
      </c>
      <c r="F11" t="s">
        <v>92</v>
      </c>
    </row>
    <row r="12" spans="2:8">
      <c r="B12" t="s">
        <v>142</v>
      </c>
      <c r="H12" t="str">
        <f>_xlfn.CONCAT(B12,C12)</f>
        <v xml:space="preserve">D+6 </v>
      </c>
    </row>
    <row r="20" spans="2:6">
      <c r="B20" t="s">
        <v>96</v>
      </c>
    </row>
    <row r="21" spans="2:6">
      <c r="C21" t="s">
        <v>138</v>
      </c>
      <c r="D21" t="s">
        <v>139</v>
      </c>
      <c r="E21" t="s">
        <v>140</v>
      </c>
      <c r="F21" t="s">
        <v>92</v>
      </c>
    </row>
    <row r="22" spans="2:6"/>
    <row r="30" spans="2:6">
      <c r="B30" t="s">
        <v>97</v>
      </c>
    </row>
    <row r="31" spans="2:6">
      <c r="C31" t="s">
        <v>138</v>
      </c>
      <c r="D31" t="s">
        <v>139</v>
      </c>
      <c r="E31" t="s">
        <v>140</v>
      </c>
      <c r="F31" t="s">
        <v>92</v>
      </c>
    </row>
    <row r="32" spans="2:6"/>
  </sheetData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32"/>
  <sheetViews>
    <sheetView workbookViewId="0">
      <selection activeCell="C31" sqref="C31:F32"/>
    </sheetView>
  </sheetViews>
  <sheetFormatPr defaultColWidth="9" defaultRowHeight="14.4"/>
  <sheetData>
    <row r="1" spans="2:8">
      <c r="B1" t="s">
        <v>88</v>
      </c>
    </row>
    <row r="2" spans="2:8">
      <c r="C2" t="s">
        <v>143</v>
      </c>
      <c r="D2" t="s">
        <v>144</v>
      </c>
      <c r="E2" t="s">
        <v>134</v>
      </c>
      <c r="F2" t="s">
        <v>92</v>
      </c>
    </row>
    <row r="3" spans="2:8">
      <c r="B3" t="s">
        <v>145</v>
      </c>
      <c r="C3" t="s">
        <v>146</v>
      </c>
      <c r="D3">
        <v>88</v>
      </c>
      <c r="E3">
        <v>68</v>
      </c>
      <c r="F3">
        <f>D3-E3</f>
        <v>20</v>
      </c>
      <c r="H3" t="str">
        <f>_xlfn.CONCAT(B3,C3)</f>
        <v>FY 25-26</v>
      </c>
    </row>
    <row r="10" spans="2:8">
      <c r="B10" t="s">
        <v>95</v>
      </c>
    </row>
    <row r="11" spans="2:8">
      <c r="C11" t="s">
        <v>143</v>
      </c>
      <c r="D11" t="s">
        <v>144</v>
      </c>
      <c r="E11" t="s">
        <v>134</v>
      </c>
      <c r="F11" t="s">
        <v>92</v>
      </c>
    </row>
    <row r="12" spans="2:8">
      <c r="B12" t="s">
        <v>145</v>
      </c>
      <c r="C12" t="s">
        <v>146</v>
      </c>
      <c r="D12">
        <v>88</v>
      </c>
      <c r="E12">
        <v>68</v>
      </c>
      <c r="F12">
        <f>D12-E12</f>
        <v>20</v>
      </c>
    </row>
    <row r="20" spans="2:6">
      <c r="B20" t="s">
        <v>96</v>
      </c>
    </row>
    <row r="21" spans="2:6">
      <c r="C21" t="s">
        <v>143</v>
      </c>
      <c r="D21" t="s">
        <v>144</v>
      </c>
      <c r="E21" t="s">
        <v>134</v>
      </c>
      <c r="F21" t="s">
        <v>92</v>
      </c>
    </row>
    <row r="22" spans="2:6">
      <c r="B22" t="s">
        <v>145</v>
      </c>
      <c r="C22" t="s">
        <v>146</v>
      </c>
      <c r="D22">
        <v>88</v>
      </c>
      <c r="E22">
        <v>68</v>
      </c>
      <c r="F22">
        <f>D22-E22</f>
        <v>20</v>
      </c>
    </row>
    <row r="30" spans="2:6">
      <c r="B30" t="s">
        <v>97</v>
      </c>
    </row>
    <row r="31" spans="2:6">
      <c r="C31" t="s">
        <v>143</v>
      </c>
      <c r="D31" t="s">
        <v>144</v>
      </c>
      <c r="E31" t="s">
        <v>134</v>
      </c>
      <c r="F31" t="s">
        <v>92</v>
      </c>
    </row>
    <row r="32" spans="2:6">
      <c r="B32" t="s">
        <v>145</v>
      </c>
      <c r="C32" t="s">
        <v>146</v>
      </c>
      <c r="D32">
        <v>88</v>
      </c>
      <c r="E32">
        <v>68</v>
      </c>
      <c r="F32">
        <f>D32-E32</f>
        <v>20</v>
      </c>
    </row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27</vt:i4>
      </vt:variant>
    </vt:vector>
  </HeadingPairs>
  <TitlesOfParts>
    <vt:vector size="35" baseType="lpstr">
      <vt:lpstr>Manag Report</vt:lpstr>
      <vt:lpstr>Daily</vt:lpstr>
      <vt:lpstr>Line Stop_Prod Loss</vt:lpstr>
      <vt:lpstr>Weely</vt:lpstr>
      <vt:lpstr>Monthly</vt:lpstr>
      <vt:lpstr>MTD</vt:lpstr>
      <vt:lpstr>YTD</vt:lpstr>
      <vt:lpstr>PrevFY</vt:lpstr>
      <vt:lpstr>Daily_C12_F13</vt:lpstr>
      <vt:lpstr>Daily_C2_F3</vt:lpstr>
      <vt:lpstr>Daily_C21_F22</vt:lpstr>
      <vt:lpstr>Daily_C31_F32</vt:lpstr>
      <vt:lpstr>Daily_L2_M3</vt:lpstr>
      <vt:lpstr>Line_Stop_Prod_Loss_B23_O24</vt:lpstr>
      <vt:lpstr>Line_Stop_Prod_Loss_B4_O5</vt:lpstr>
      <vt:lpstr>Line_Stop_Prod_Loss_B43_M44</vt:lpstr>
      <vt:lpstr>Monthly_C11_F12</vt:lpstr>
      <vt:lpstr>Monthly_C2_F3</vt:lpstr>
      <vt:lpstr>Monthly_C21_F22</vt:lpstr>
      <vt:lpstr>Monthly_C31_F32</vt:lpstr>
      <vt:lpstr>MTD_C11_F12</vt:lpstr>
      <vt:lpstr>MTD_C2_F3</vt:lpstr>
      <vt:lpstr>PrevFY_C11_F12</vt:lpstr>
      <vt:lpstr>PrevFY_C2_F3</vt:lpstr>
      <vt:lpstr>PrevFY_C21_F22</vt:lpstr>
      <vt:lpstr>PrevFY_C31_F32</vt:lpstr>
      <vt:lpstr>'Manag Report'!Print_Area</vt:lpstr>
      <vt:lpstr>Weely_C11_M12</vt:lpstr>
      <vt:lpstr>Weely_C2_M3</vt:lpstr>
      <vt:lpstr>Weely_C21_M22</vt:lpstr>
      <vt:lpstr>Weely_C31_M32</vt:lpstr>
      <vt:lpstr>YTD_C11_F12</vt:lpstr>
      <vt:lpstr>YTD_C2_F3</vt:lpstr>
      <vt:lpstr>YTD_C21_F22</vt:lpstr>
      <vt:lpstr>YTD_C31_F32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rege</cp:lastModifiedBy>
  <cp:lastPrinted>2026-06-09T12:02:08Z</cp:lastPrinted>
  <dcterms:created xsi:type="dcterms:W3CDTF">2006-09-16T00:00:00Z</dcterms:created>
  <dcterms:modified xsi:type="dcterms:W3CDTF">2026-06-10T03:24:17Z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408DD1E7D71E4B45A07D64CD5180090F_12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