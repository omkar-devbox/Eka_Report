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\Eka_Report\Eka_Report_back\"/>
    </mc:Choice>
  </mc:AlternateContent>
  <xr:revisionPtr revIDLastSave="0" documentId="13_ncr:1_{37F9C3E2-EDA3-4910-97AE-5AF3FEEECB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 Report" sheetId="1" r:id="rId1"/>
    <sheet name="Daily" sheetId="4" state="hidden" r:id="rId2"/>
  </sheets>
  <externalReferences>
    <externalReference r:id="rId3"/>
  </externalReferences>
  <definedNames>
    <definedName name="Daily_C12_F13">Daily!$C$12:$F$13</definedName>
    <definedName name="Daily_C2_F3">Daily!$C$2:$F$3</definedName>
    <definedName name="Daily_C21_F22">Daily!$C$21:$F$22</definedName>
    <definedName name="Daily_C31_F32">Daily!$C$31:$F$32</definedName>
    <definedName name="Daily_L2_M3">Daily!$L$2:$M$3</definedName>
    <definedName name="Line_Stop_Prod_Loss_B23_O24">#REF!</definedName>
    <definedName name="Line_Stop_Prod_Loss_B4_O5">#REF!</definedName>
    <definedName name="Line_Stop_Prod_Loss_B43_M44">#REF!</definedName>
    <definedName name="Monthly_C11_F12">#REF!</definedName>
    <definedName name="Monthly_C2_F3">#REF!</definedName>
    <definedName name="Monthly_C21_F22">#REF!</definedName>
    <definedName name="Monthly_C31_F32">#REF!</definedName>
    <definedName name="MTD_C11_F12">#REF!</definedName>
    <definedName name="MTD_C2_F3">#REF!</definedName>
    <definedName name="PrevFY_C11_F12">#REF!</definedName>
    <definedName name="PrevFY_C2_F3">#REF!</definedName>
    <definedName name="PrevFY_C21_F22">#REF!</definedName>
    <definedName name="PrevFY_C31_F32">#REF!</definedName>
    <definedName name="_xlnm.Print_Area" localSheetId="0">'Prod Report'!$A$3:$U$43</definedName>
    <definedName name="Weely_C11_M12">#REF!</definedName>
    <definedName name="Weely_C2_M3">#REF!</definedName>
    <definedName name="Weely_C21_M22">#REF!</definedName>
    <definedName name="Weely_C31_M32">#REF!</definedName>
    <definedName name="YTD_C11_F12">#REF!</definedName>
    <definedName name="YTD_C2_F3">#REF!</definedName>
    <definedName name="YTD_C21_F22">#REF!</definedName>
    <definedName name="YTD_C31_F3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1" l="1"/>
  <c r="I39" i="1"/>
  <c r="H39" i="1"/>
  <c r="G39" i="1"/>
  <c r="F39" i="1"/>
  <c r="E39" i="1"/>
  <c r="J38" i="1"/>
  <c r="I38" i="1"/>
  <c r="H38" i="1"/>
  <c r="G38" i="1"/>
  <c r="F38" i="1"/>
  <c r="E38" i="1"/>
  <c r="J37" i="1"/>
  <c r="I37" i="1"/>
  <c r="H37" i="1"/>
  <c r="G37" i="1"/>
  <c r="F37" i="1"/>
  <c r="E37" i="1"/>
  <c r="J36" i="1"/>
  <c r="I36" i="1"/>
  <c r="H36" i="1"/>
  <c r="G36" i="1"/>
  <c r="F36" i="1"/>
  <c r="E36" i="1"/>
  <c r="J35" i="1"/>
  <c r="I35" i="1"/>
  <c r="H35" i="1"/>
  <c r="G35" i="1"/>
  <c r="F35" i="1"/>
  <c r="E35" i="1"/>
  <c r="R25" i="1"/>
  <c r="P25" i="1"/>
  <c r="R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DELL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Administrator:
REPORT GENERATION DATE &amp; TIME </t>
        </r>
      </text>
    </comment>
    <comment ref="R2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DELL:
Production month</t>
        </r>
      </text>
    </comment>
    <comment ref="R3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DELL:
Month days excluding weekly off and holidays</t>
        </r>
      </text>
    </comment>
    <comment ref="R4" authorId="1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DELL:
remaining working days of month</t>
        </r>
      </text>
    </comment>
    <comment ref="E10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F10" authorId="1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H10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DELL:
week total</t>
        </r>
      </text>
    </comment>
    <comment ref="M10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DELL:
Last shift value of day</t>
        </r>
      </text>
    </comment>
    <comment ref="N10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DELL:
last actual value of day</t>
        </r>
      </text>
    </comment>
    <comment ref="P10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DELL:
Year total</t>
        </r>
      </text>
    </comment>
    <comment ref="E19" authorId="1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F19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H19" authorId="1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DELL:
week total</t>
        </r>
      </text>
    </comment>
    <comment ref="M19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DELL:
Last shift value of day</t>
        </r>
      </text>
    </comment>
    <comment ref="N19" authorId="1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DELL:
last actual value of day</t>
        </r>
      </text>
    </comment>
    <comment ref="P19" authorId="1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DELL:
Year total</t>
        </r>
      </text>
    </comment>
    <comment ref="E27" authorId="1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F27" authorId="1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DELL:
days total</t>
        </r>
      </text>
    </comment>
    <comment ref="H27" authorId="1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DELL:
week total</t>
        </r>
      </text>
    </comment>
    <comment ref="M27" authorId="1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DELL:
Last shift value of day</t>
        </r>
      </text>
    </comment>
    <comment ref="N27" authorId="1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DELL:
last actual value of day</t>
        </r>
      </text>
    </comment>
    <comment ref="P27" authorId="1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DELL:
Year total</t>
        </r>
      </text>
    </comment>
    <comment ref="E32" authorId="1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DELL:
Report generation date</t>
        </r>
      </text>
    </comment>
    <comment ref="E35" authorId="1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F35" authorId="1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G35" authorId="1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H35" authorId="1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I35" authorId="1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J35" authorId="1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K35" authorId="1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L35" authorId="1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M35" authorId="1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N35" authorId="1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DELL:
Highest Call Value</t>
        </r>
      </text>
    </comment>
    <comment ref="O35" authorId="1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DELL:
Highest value of chassis lline call reason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{{Date}} : Date.
NAMED RANGE: Daily_C2_F2.</t>
        </r>
      </text>
    </comment>
    <comment ref="D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{{TargetCount}} : TargetCount.
NAMED RANGE: Daily_C2_F2.</t>
        </r>
      </text>
    </comment>
    <comment ref="E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{{ActualCount}} : ActualCount.
NAMED RANGE: Daily_C2_F2.</t>
        </r>
      </text>
    </comment>
    <comment ref="F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{{Difference}} : Difference.
NAMED RANGE: Daily_C2_F2.</t>
        </r>
      </text>
    </comment>
    <comment ref="L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{{total_working_days}} : total_working_days.
NAMED RANGE: Daily_L2_M2.</t>
        </r>
      </text>
    </comment>
    <comment ref="M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{{working_days_left}} : working_days_left.
NAMED RANGE: Daily_L2_M2.</t>
        </r>
      </text>
    </comment>
    <comment ref="C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{{Date}} : Date NAMED RANGE: Daily_C2_F2.</t>
        </r>
      </text>
    </comment>
    <comment ref="D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{{TargetCount}} : TargetCount NAMED RANGE: Daily_C2_F2.</t>
        </r>
      </text>
    </comment>
    <comment ref="E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{{ActualCount}} : ActualCount NAMED RANGE: Daily_C2_F2.</t>
        </r>
      </text>
    </comment>
    <comment ref="F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{{Difference}} : Difference NAMED RANGE: Daily_C2_F2.</t>
        </r>
      </text>
    </comment>
    <comment ref="L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{{total_working_days}} : total_working_days NAMED RANGE: Daily_L2_M2.</t>
        </r>
      </text>
    </comment>
    <comment ref="M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{{working_days_left}} : working_days_left NAMED RANGE: Daily_L2_M2.</t>
        </r>
      </text>
    </comment>
    <comment ref="C1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{{Date}} : Date.
NAMED RANGE: Daily_C12_F12.</t>
        </r>
      </text>
    </comment>
    <comment ref="D1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{{TargetCount}} : TargetCount.
NAMED RANGE: Daily_C12_F12.</t>
        </r>
      </text>
    </comment>
    <comment ref="E1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{{ActualCount}} : ActualCount.
NAMED RANGE: Daily_C12_F12.</t>
        </r>
      </text>
    </comment>
    <comment ref="F1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{{Difference}} : Difference.
NAMED RANGE: Daily_C12_F12.</t>
        </r>
      </text>
    </comment>
    <comment ref="C1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{{Date}} : Date NAMED RANGE: Daily_C12_F12.</t>
        </r>
      </text>
    </comment>
    <comment ref="D1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{{TargetCount}} : TargetCount NAMED RANGE: Daily_C12_F12.</t>
        </r>
      </text>
    </comment>
    <comment ref="E1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{{ActualCount}} : ActualCount NAMED RANGE: Daily_C12_F12.</t>
        </r>
      </text>
    </comment>
    <comment ref="F1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{{Difference}} : Difference NAMED RANGE: Daily_C12_F12.</t>
        </r>
      </text>
    </comment>
    <comment ref="C2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{{Date}} : Date.
NAMED RANGE: Daily_C21_F21.</t>
        </r>
      </text>
    </comment>
    <comment ref="D2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{{TargetCount}} : TargetCount.
NAMED RANGE: Daily_C21_F21.</t>
        </r>
      </text>
    </comment>
    <comment ref="E2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{{ActualCount}} : ActualCount.
NAMED RANGE: Daily_C21_F21.</t>
        </r>
      </text>
    </comment>
    <comment ref="F2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{{Difference}} : Difference.
NAMED RANGE: Daily_C21_F21.</t>
        </r>
      </text>
    </comment>
    <comment ref="C2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{{Date}} : Date NAMED RANGE: Daily_C21_F21.</t>
        </r>
      </text>
    </comment>
    <comment ref="D2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{{TargetCount}} : TargetCount NAMED RANGE: Daily_C21_F21.</t>
        </r>
      </text>
    </comment>
    <comment ref="E2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{{ActualCount}} : ActualCount NAMED RANGE: Daily_C21_F21.</t>
        </r>
      </text>
    </comment>
    <comment ref="F2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{{Difference}} : Difference NAMED RANGE: Daily_C21_F21.</t>
        </r>
      </text>
    </comment>
    <comment ref="C3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{{Date}} : Date.
NAMED RANGE: Daily_C31_F31.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{{TargetCount}} : TargetCount.
NAMED RANGE: Daily_C31_F31.</t>
        </r>
      </text>
    </comment>
    <comment ref="E3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{{ActualCount}} : ActualCount.
NAMED RANGE: Daily_C31_F31.</t>
        </r>
      </text>
    </comment>
    <comment ref="F31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[HEADER] REAL TIME DATA MAPPING.
COLUMN {{Difference}} : Difference.
NAMED RANGE: Daily_C31_F31.</t>
        </r>
      </text>
    </comment>
    <comment ref="C3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{{Date}} : Date NAMED RANGE: Daily_C31_F31.</t>
        </r>
      </text>
    </comment>
    <comment ref="D3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{{TargetCount}} : TargetCount NAMED RANGE: Daily_C31_F31.</t>
        </r>
      </text>
    </comment>
    <comment ref="E3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{{ActualCount}} : ActualCount NAMED RANGE: Daily_C31_F31.</t>
        </r>
      </text>
    </comment>
    <comment ref="F3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[FIRST ROW] REAL TIME DATA MAPPING. COLUMN: {{Difference}} : Difference NAMED RANGE: Daily_C31_F31.</t>
        </r>
      </text>
    </comment>
  </commentList>
</comments>
</file>

<file path=xl/sharedStrings.xml><?xml version="1.0" encoding="utf-8"?>
<sst xmlns="http://schemas.openxmlformats.org/spreadsheetml/2006/main" count="160" uniqueCount="66">
  <si>
    <t>MANAGEMENT PRODUCTION REPORT</t>
  </si>
  <si>
    <t>Month</t>
  </si>
  <si>
    <t>Jun 2026</t>
  </si>
  <si>
    <t>Available Working Days</t>
  </si>
  <si>
    <t>Date</t>
  </si>
  <si>
    <t>09-06-2026</t>
  </si>
  <si>
    <t>Working Days Left</t>
  </si>
  <si>
    <t>Time</t>
  </si>
  <si>
    <t>Monthly</t>
  </si>
  <si>
    <t>Weekly</t>
  </si>
  <si>
    <t>Daily</t>
  </si>
  <si>
    <t>YTD</t>
  </si>
  <si>
    <t>FY</t>
  </si>
  <si>
    <t>Week Actual</t>
  </si>
  <si>
    <t>09-Jun-2026</t>
  </si>
  <si>
    <t>Plan</t>
  </si>
  <si>
    <t>Act</t>
  </si>
  <si>
    <t>Var</t>
  </si>
  <si>
    <t>W1</t>
  </si>
  <si>
    <t>W2</t>
  </si>
  <si>
    <t>W3</t>
  </si>
  <si>
    <t>W4</t>
  </si>
  <si>
    <t>W5</t>
  </si>
  <si>
    <t>Saarthi D+6</t>
  </si>
  <si>
    <t>Micky D+3</t>
  </si>
  <si>
    <t>Cargo</t>
  </si>
  <si>
    <t>I-Puma</t>
  </si>
  <si>
    <t>Chassis</t>
  </si>
  <si>
    <t>Station Call</t>
  </si>
  <si>
    <t>Daily ( Min )</t>
  </si>
  <si>
    <t>No of Minutes Lost</t>
  </si>
  <si>
    <t>Trim</t>
  </si>
  <si>
    <t>Saarthi Main</t>
  </si>
  <si>
    <t>Saarthi Sub</t>
  </si>
  <si>
    <t>I-PUMA Main</t>
  </si>
  <si>
    <t>I-PUMA Sub</t>
  </si>
  <si>
    <t>Cargo Main</t>
  </si>
  <si>
    <t>Cargo Sub</t>
  </si>
  <si>
    <t>Chassis Line Loss Reason</t>
  </si>
  <si>
    <t>Remark</t>
  </si>
  <si>
    <t>Process Call</t>
  </si>
  <si>
    <t>Standard Work Problem</t>
  </si>
  <si>
    <t>Material Call</t>
  </si>
  <si>
    <t>Material Shortage</t>
  </si>
  <si>
    <t>Quality Call</t>
  </si>
  <si>
    <t>Maintenance Call</t>
  </si>
  <si>
    <t>Water Flow Issue</t>
  </si>
  <si>
    <t>Other</t>
  </si>
  <si>
    <t>M_TCF</t>
  </si>
  <si>
    <t>{{Date}} : Date</t>
  </si>
  <si>
    <t>{{TargetCount}} : TargetCount</t>
  </si>
  <si>
    <t>{{ActualCount}} : ActualCount</t>
  </si>
  <si>
    <t>{{Difference}} : Difference</t>
  </si>
  <si>
    <t>{{total_working_days}} : total_working_days</t>
  </si>
  <si>
    <t>{{working_days_left}} : working_days_left</t>
  </si>
  <si>
    <t>S_TCF</t>
  </si>
  <si>
    <t>M_BIW</t>
  </si>
  <si>
    <t>S_BIW</t>
  </si>
  <si>
    <t xml:space="preserve"> VEHICLE MTD Rollout</t>
  </si>
  <si>
    <t xml:space="preserve"> BIW MTD Rollout</t>
  </si>
  <si>
    <t>PAINT  MTD Rollout</t>
  </si>
  <si>
    <t>BIW Production Details</t>
  </si>
  <si>
    <t>Vehicle Production Details</t>
  </si>
  <si>
    <t>Paint Shop Production Details</t>
  </si>
  <si>
    <t>26-27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</si>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</sst>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0" fillId="2" borderId="3" xfId="0" applyFill="1" applyBorder="1"/>
    <xf numFmtId="0" fontId="0" fillId="2" borderId="0" xfId="0" applyFill="1"/>
    <xf numFmtId="0" fontId="0" fillId="2" borderId="25" xfId="0" applyFill="1" applyBorder="1" applyAlignment="1">
      <alignment horizontal="center" wrapText="1"/>
    </xf>
    <xf numFmtId="0" fontId="0" fillId="0" borderId="28" xfId="0" applyBorder="1"/>
    <xf numFmtId="49" fontId="1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0" fillId="0" borderId="1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2" fillId="0" borderId="4" xfId="0" applyNumberFormat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16" fontId="2" fillId="0" borderId="5" xfId="0" applyNumberFormat="1" applyFont="1" applyBorder="1" applyAlignment="1">
      <alignment horizontal="center"/>
    </xf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1" fillId="2" borderId="25" xfId="0" applyFont="1" applyFill="1" applyBorder="1" applyAlignment="1">
      <alignment horizontal="center"/>
    </xf>
    <xf numFmtId="0" fontId="0" fillId="2" borderId="23" xfId="0" applyFill="1" applyBorder="1"/>
    <xf numFmtId="0" fontId="0" fillId="2" borderId="22" xfId="0" applyFill="1" applyBorder="1"/>
    <xf numFmtId="0" fontId="2" fillId="0" borderId="6" xfId="0" applyFont="1" applyBorder="1" applyAlignment="1">
      <alignment horizontal="left" vertical="center"/>
    </xf>
    <xf numFmtId="0" fontId="1" fillId="2" borderId="25" xfId="0" applyFont="1" applyFill="1" applyBorder="1" applyAlignment="1">
      <alignment horizontal="left"/>
    </xf>
    <xf numFmtId="0" fontId="0" fillId="2" borderId="24" xfId="0" applyFill="1" applyBorder="1"/>
    <xf numFmtId="0" fontId="2" fillId="0" borderId="27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" fillId="0" borderId="29" xfId="0" applyFont="1" applyBorder="1" applyAlignment="1">
      <alignment horizontal="center"/>
    </xf>
    <xf numFmtId="0" fontId="0" fillId="0" borderId="29" xfId="0" applyBorder="1"/>
    <xf numFmtId="0" fontId="4" fillId="3" borderId="3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18" fontId="0" fillId="0" borderId="4" xfId="0" applyNumberForma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2" borderId="21" xfId="0" applyFill="1" applyBorder="1"/>
    <xf numFmtId="0" fontId="1" fillId="2" borderId="4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ProductionReport_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 Report"/>
      <sheetName val="SQL Work (2)"/>
      <sheetName val="Sheet1"/>
      <sheetName val="Daily"/>
      <sheetName val="Line Stop_Prod Loss"/>
      <sheetName val="Weely"/>
      <sheetName val="Monthly"/>
      <sheetName val="MTD"/>
      <sheetName val="YTD"/>
      <sheetName val="PrevFY"/>
    </sheetNames>
    <sheetDataSet>
      <sheetData sheetId="0"/>
      <sheetData sheetId="1"/>
      <sheetData sheetId="2"/>
      <sheetData sheetId="3"/>
      <sheetData sheetId="4"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0.5</v>
          </cell>
          <cell r="H5">
            <v>73.7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156.30000000000001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0.2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0.1</v>
          </cell>
          <cell r="H8">
            <v>0.1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</sheetData>
      <sheetData sheetId="5"/>
      <sheetData sheetId="6"/>
      <sheetData sheetId="7"/>
      <sheetData sheetId="8"/>
      <sheetData sheetId="9">
        <row r="12">
          <cell r="C12" t="str">
            <v>25-26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topLeftCell="A4" zoomScale="81" zoomScaleNormal="80" workbookViewId="0">
      <selection activeCell="M10" sqref="M10:N11"/>
    </sheetView>
  </sheetViews>
  <sheetFormatPr defaultColWidth="9" defaultRowHeight="14.4"/>
  <cols>
    <col min="1" max="1" width="8.5546875" customWidth="1"/>
    <col min="2" max="2" width="10.88671875" customWidth="1"/>
    <col min="3" max="3" width="8.88671875" customWidth="1"/>
    <col min="4" max="4" width="13.6640625" customWidth="1"/>
    <col min="5" max="5" width="10.6640625" customWidth="1"/>
    <col min="6" max="6" width="13.109375" customWidth="1"/>
    <col min="7" max="7" width="12.6640625" customWidth="1"/>
    <col min="8" max="8" width="12" customWidth="1"/>
    <col min="9" max="9" width="14" customWidth="1"/>
    <col min="10" max="10" width="12.5546875" customWidth="1"/>
    <col min="11" max="11" width="6" customWidth="1"/>
    <col min="12" max="12" width="6.109375" customWidth="1"/>
    <col min="13" max="13" width="6" customWidth="1"/>
    <col min="14" max="14" width="6.6640625" customWidth="1"/>
    <col min="15" max="15" width="6.88671875" customWidth="1"/>
    <col min="16" max="16" width="6" customWidth="1"/>
    <col min="17" max="18" width="6.5546875" customWidth="1"/>
    <col min="19" max="19" width="6.109375" customWidth="1"/>
    <col min="20" max="20" width="5" customWidth="1"/>
    <col min="21" max="21" width="8.6640625" customWidth="1"/>
    <col min="24" max="24" width="32.33203125" bestFit="1" customWidth="1"/>
  </cols>
  <sheetData>
    <row r="1" spans="1:21" ht="15" customHeight="1" thickBot="1"/>
    <row r="2" spans="1:21" ht="15" customHeight="1">
      <c r="A2" s="23" t="s">
        <v>4</v>
      </c>
      <c r="B2" s="63" t="s">
        <v>5</v>
      </c>
      <c r="C2" s="64"/>
      <c r="D2" s="12"/>
      <c r="E2" s="12"/>
      <c r="F2" s="65" t="s">
        <v>0</v>
      </c>
      <c r="G2" s="66"/>
      <c r="H2" s="66"/>
      <c r="I2" s="66"/>
      <c r="J2" s="66"/>
      <c r="K2" s="66"/>
      <c r="L2" s="67"/>
      <c r="M2" s="12"/>
      <c r="N2" s="71" t="s">
        <v>1</v>
      </c>
      <c r="O2" s="72"/>
      <c r="P2" s="72"/>
      <c r="Q2" s="73"/>
      <c r="R2" s="74" t="s">
        <v>2</v>
      </c>
      <c r="S2" s="74"/>
      <c r="T2" s="12"/>
      <c r="U2" s="3"/>
    </row>
    <row r="3" spans="1:21" ht="15" customHeight="1">
      <c r="A3" s="19" t="s">
        <v>7</v>
      </c>
      <c r="B3" s="75">
        <v>0.69398981410879634</v>
      </c>
      <c r="C3" s="61"/>
      <c r="F3" s="68"/>
      <c r="G3" s="69"/>
      <c r="H3" s="69"/>
      <c r="I3" s="69"/>
      <c r="J3" s="69"/>
      <c r="K3" s="69"/>
      <c r="L3" s="70"/>
      <c r="N3" s="76" t="s">
        <v>3</v>
      </c>
      <c r="O3" s="77"/>
      <c r="P3" s="77"/>
      <c r="Q3" s="78"/>
      <c r="R3" s="79">
        <v>26</v>
      </c>
      <c r="S3" s="79"/>
      <c r="U3" s="6"/>
    </row>
    <row r="4" spans="1:21">
      <c r="A4" s="4"/>
      <c r="N4" s="76" t="s">
        <v>6</v>
      </c>
      <c r="O4" s="77"/>
      <c r="P4" s="77"/>
      <c r="Q4" s="78"/>
      <c r="R4" s="79">
        <v>18</v>
      </c>
      <c r="S4" s="79"/>
      <c r="U4" s="6"/>
    </row>
    <row r="5" spans="1:21">
      <c r="A5" s="4"/>
      <c r="S5" s="18"/>
      <c r="T5" s="18"/>
      <c r="U5" s="6"/>
    </row>
    <row r="6" spans="1:21" ht="15.6">
      <c r="A6" s="46" t="s">
        <v>62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1"/>
      <c r="U6" s="6"/>
    </row>
    <row r="7" spans="1:21">
      <c r="A7" s="60"/>
      <c r="B7" s="61"/>
      <c r="C7" s="61"/>
      <c r="D7" s="61"/>
      <c r="E7" s="45" t="s">
        <v>8</v>
      </c>
      <c r="F7" s="38"/>
      <c r="G7" s="39"/>
      <c r="H7" s="45" t="s">
        <v>9</v>
      </c>
      <c r="I7" s="38"/>
      <c r="J7" s="38"/>
      <c r="K7" s="38"/>
      <c r="L7" s="39"/>
      <c r="M7" s="45" t="s">
        <v>10</v>
      </c>
      <c r="N7" s="38"/>
      <c r="O7" s="39"/>
      <c r="P7" s="45" t="s">
        <v>11</v>
      </c>
      <c r="Q7" s="45"/>
      <c r="R7" s="45" t="s">
        <v>12</v>
      </c>
      <c r="S7" s="45"/>
      <c r="T7" s="18"/>
      <c r="U7" s="5"/>
    </row>
    <row r="8" spans="1:21">
      <c r="A8" s="62"/>
      <c r="B8" s="61"/>
      <c r="C8" s="61"/>
      <c r="D8" s="61"/>
      <c r="E8" s="80" t="s">
        <v>2</v>
      </c>
      <c r="F8" s="38"/>
      <c r="G8" s="39"/>
      <c r="H8" s="45" t="s">
        <v>13</v>
      </c>
      <c r="I8" s="38"/>
      <c r="J8" s="38"/>
      <c r="K8" s="38"/>
      <c r="L8" s="39"/>
      <c r="M8" s="80" t="s">
        <v>14</v>
      </c>
      <c r="N8" s="38"/>
      <c r="O8" s="39"/>
      <c r="P8" s="45" t="s">
        <v>64</v>
      </c>
      <c r="Q8" s="45"/>
      <c r="R8" s="45" t="str">
        <f>[1]PrevFY!C12</f>
        <v>25-26</v>
      </c>
      <c r="S8" s="45"/>
      <c r="T8" s="18"/>
      <c r="U8" s="5"/>
    </row>
    <row r="9" spans="1:21">
      <c r="A9" s="31" t="s">
        <v>58</v>
      </c>
      <c r="B9" s="38"/>
      <c r="C9" s="38"/>
      <c r="D9" s="39"/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15</v>
      </c>
      <c r="N9" s="9" t="s">
        <v>16</v>
      </c>
      <c r="O9" s="9" t="s">
        <v>17</v>
      </c>
      <c r="P9" s="45" t="s">
        <v>16</v>
      </c>
      <c r="Q9" s="45"/>
      <c r="R9" s="45" t="s">
        <v>16</v>
      </c>
      <c r="S9" s="45"/>
      <c r="T9" s="18"/>
      <c r="U9" s="5"/>
    </row>
    <row r="10" spans="1:21">
      <c r="A10" s="30" t="s">
        <v>23</v>
      </c>
      <c r="B10" s="27"/>
      <c r="C10" s="27"/>
      <c r="D10" s="28"/>
      <c r="E10" s="15">
        <v>70</v>
      </c>
      <c r="F10" s="15">
        <v>23</v>
      </c>
      <c r="G10" s="15">
        <v>-47</v>
      </c>
      <c r="H10" s="15">
        <v>15</v>
      </c>
      <c r="I10" s="15">
        <v>8</v>
      </c>
      <c r="J10" s="15">
        <v>0</v>
      </c>
      <c r="K10" s="15">
        <v>0</v>
      </c>
      <c r="L10" s="15">
        <v>0</v>
      </c>
      <c r="M10" s="15">
        <v>10</v>
      </c>
      <c r="N10" s="15">
        <v>2</v>
      </c>
      <c r="O10" s="15">
        <v>-8</v>
      </c>
      <c r="P10" s="91">
        <v>288</v>
      </c>
      <c r="Q10" s="91"/>
      <c r="R10" s="91">
        <v>68</v>
      </c>
      <c r="S10" s="91"/>
      <c r="T10" s="18"/>
      <c r="U10" s="5"/>
    </row>
    <row r="11" spans="1:21">
      <c r="A11" s="54" t="s">
        <v>24</v>
      </c>
      <c r="B11" s="38"/>
      <c r="C11" s="38"/>
      <c r="D11" s="39"/>
      <c r="E11" s="15">
        <v>80</v>
      </c>
      <c r="F11" s="15">
        <v>29</v>
      </c>
      <c r="G11" s="15">
        <v>-51</v>
      </c>
      <c r="H11" s="15">
        <v>24</v>
      </c>
      <c r="I11" s="15">
        <v>5</v>
      </c>
      <c r="J11" s="15">
        <v>0</v>
      </c>
      <c r="K11" s="15">
        <v>0</v>
      </c>
      <c r="L11" s="15">
        <v>0</v>
      </c>
      <c r="M11" s="15">
        <v>10</v>
      </c>
      <c r="N11" s="15">
        <v>1</v>
      </c>
      <c r="O11" s="15">
        <v>-9</v>
      </c>
      <c r="P11" s="91">
        <v>366</v>
      </c>
      <c r="Q11" s="91"/>
      <c r="R11" s="91">
        <v>68</v>
      </c>
      <c r="S11" s="91"/>
      <c r="T11" s="18"/>
      <c r="U11" s="5"/>
    </row>
    <row r="12" spans="1:21">
      <c r="A12" s="57" t="s">
        <v>25</v>
      </c>
      <c r="B12" s="58"/>
      <c r="C12" s="58"/>
      <c r="D12" s="59"/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92">
        <v>0</v>
      </c>
      <c r="Q12" s="93"/>
      <c r="R12" s="92">
        <v>0</v>
      </c>
      <c r="S12" s="93"/>
      <c r="T12" s="18"/>
      <c r="U12" s="5"/>
    </row>
    <row r="13" spans="1:21">
      <c r="A13" s="57" t="s">
        <v>26</v>
      </c>
      <c r="B13" s="58"/>
      <c r="C13" s="58"/>
      <c r="D13" s="59"/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92">
        <v>0</v>
      </c>
      <c r="Q13" s="93"/>
      <c r="R13" s="92">
        <v>0</v>
      </c>
      <c r="S13" s="93"/>
      <c r="T13" s="18"/>
      <c r="U13" s="5"/>
    </row>
    <row r="14" spans="1:21">
      <c r="A14" s="4"/>
      <c r="R14" s="1"/>
      <c r="S14" s="1"/>
      <c r="T14" s="18"/>
      <c r="U14" s="5"/>
    </row>
    <row r="15" spans="1:21" ht="15.6">
      <c r="A15" s="46" t="s">
        <v>61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1"/>
      <c r="U15" s="6"/>
    </row>
    <row r="16" spans="1:21">
      <c r="A16" s="48"/>
      <c r="B16" s="49"/>
      <c r="C16" s="49"/>
      <c r="D16" s="49"/>
      <c r="E16" s="25" t="s">
        <v>8</v>
      </c>
      <c r="F16" s="27"/>
      <c r="G16" s="28"/>
      <c r="H16" s="25" t="s">
        <v>9</v>
      </c>
      <c r="I16" s="27"/>
      <c r="J16" s="27"/>
      <c r="K16" s="27"/>
      <c r="L16" s="28"/>
      <c r="M16" s="25" t="s">
        <v>10</v>
      </c>
      <c r="N16" s="27"/>
      <c r="O16" s="28"/>
      <c r="P16" s="25" t="s">
        <v>11</v>
      </c>
      <c r="Q16" s="25"/>
      <c r="R16" s="25" t="s">
        <v>12</v>
      </c>
      <c r="S16" s="25"/>
      <c r="T16" s="1"/>
      <c r="U16" s="6"/>
    </row>
    <row r="17" spans="1:21">
      <c r="A17" s="50"/>
      <c r="B17" s="49"/>
      <c r="C17" s="49"/>
      <c r="D17" s="49"/>
      <c r="E17" s="26" t="s">
        <v>2</v>
      </c>
      <c r="F17" s="27"/>
      <c r="G17" s="28"/>
      <c r="H17" s="25" t="s">
        <v>13</v>
      </c>
      <c r="I17" s="27"/>
      <c r="J17" s="27"/>
      <c r="K17" s="27"/>
      <c r="L17" s="28"/>
      <c r="M17" s="26" t="s">
        <v>14</v>
      </c>
      <c r="N17" s="27"/>
      <c r="O17" s="28"/>
      <c r="P17" s="25"/>
      <c r="Q17" s="25"/>
      <c r="R17" s="25"/>
      <c r="S17" s="25"/>
      <c r="T17" s="1"/>
      <c r="U17" s="6"/>
    </row>
    <row r="18" spans="1:21">
      <c r="A18" s="29" t="s">
        <v>59</v>
      </c>
      <c r="B18" s="27"/>
      <c r="C18" s="27"/>
      <c r="D18" s="28"/>
      <c r="E18" s="17" t="s">
        <v>15</v>
      </c>
      <c r="F18" s="17" t="s">
        <v>16</v>
      </c>
      <c r="G18" s="17" t="s">
        <v>17</v>
      </c>
      <c r="H18" s="17" t="s">
        <v>18</v>
      </c>
      <c r="I18" s="17" t="s">
        <v>19</v>
      </c>
      <c r="J18" s="17" t="s">
        <v>20</v>
      </c>
      <c r="K18" s="17" t="s">
        <v>21</v>
      </c>
      <c r="L18" s="17" t="s">
        <v>22</v>
      </c>
      <c r="M18" s="17" t="s">
        <v>15</v>
      </c>
      <c r="N18" s="17" t="s">
        <v>16</v>
      </c>
      <c r="O18" s="17" t="s">
        <v>17</v>
      </c>
      <c r="P18" s="25" t="s">
        <v>16</v>
      </c>
      <c r="Q18" s="25"/>
      <c r="R18" s="25" t="s">
        <v>16</v>
      </c>
      <c r="S18" s="25"/>
      <c r="T18" s="14"/>
      <c r="U18" s="7"/>
    </row>
    <row r="19" spans="1:21">
      <c r="A19" s="30" t="s">
        <v>23</v>
      </c>
      <c r="B19" s="27"/>
      <c r="C19" s="27"/>
      <c r="D19" s="28"/>
      <c r="E19" s="15">
        <v>70</v>
      </c>
      <c r="F19" s="15">
        <v>23</v>
      </c>
      <c r="G19" s="15">
        <v>-47</v>
      </c>
      <c r="H19" s="15">
        <v>15</v>
      </c>
      <c r="I19" s="15">
        <v>8</v>
      </c>
      <c r="J19" s="15">
        <v>0</v>
      </c>
      <c r="K19" s="15">
        <v>0</v>
      </c>
      <c r="L19" s="15">
        <v>0</v>
      </c>
      <c r="M19" s="15">
        <v>10</v>
      </c>
      <c r="N19" s="15">
        <v>2</v>
      </c>
      <c r="O19" s="15">
        <v>-8</v>
      </c>
      <c r="P19" s="91">
        <v>288</v>
      </c>
      <c r="Q19" s="91"/>
      <c r="R19" s="91">
        <v>68</v>
      </c>
      <c r="S19" s="91"/>
      <c r="U19" s="5"/>
    </row>
    <row r="20" spans="1:21">
      <c r="A20" s="30" t="s">
        <v>25</v>
      </c>
      <c r="B20" s="27"/>
      <c r="C20" s="27"/>
      <c r="D20" s="28"/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94" t="s">
        <v>65</v>
      </c>
      <c r="Q20" s="91"/>
      <c r="R20" s="94" t="s">
        <v>65</v>
      </c>
      <c r="S20" s="91"/>
      <c r="U20" s="5"/>
    </row>
    <row r="21" spans="1:21">
      <c r="A21" s="30" t="s">
        <v>26</v>
      </c>
      <c r="B21" s="27"/>
      <c r="C21" s="27"/>
      <c r="D21" s="28"/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95">
        <v>0</v>
      </c>
      <c r="Q21" s="95"/>
      <c r="R21" s="95">
        <v>0</v>
      </c>
      <c r="S21" s="95"/>
      <c r="U21" s="5"/>
    </row>
    <row r="22" spans="1:2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U22" s="5"/>
    </row>
    <row r="23" spans="1:21" ht="15.6">
      <c r="A23" s="89" t="s">
        <v>63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1"/>
      <c r="U23" s="6"/>
    </row>
    <row r="24" spans="1:21">
      <c r="A24" s="48"/>
      <c r="B24" s="49"/>
      <c r="C24" s="49"/>
      <c r="D24" s="49"/>
      <c r="E24" s="25" t="s">
        <v>8</v>
      </c>
      <c r="F24" s="27"/>
      <c r="G24" s="28"/>
      <c r="H24" s="25" t="s">
        <v>9</v>
      </c>
      <c r="I24" s="27"/>
      <c r="J24" s="27"/>
      <c r="K24" s="27"/>
      <c r="L24" s="28"/>
      <c r="M24" s="25" t="s">
        <v>10</v>
      </c>
      <c r="N24" s="27"/>
      <c r="O24" s="28"/>
      <c r="P24" s="25" t="s">
        <v>11</v>
      </c>
      <c r="Q24" s="25"/>
      <c r="R24" s="25" t="s">
        <v>12</v>
      </c>
      <c r="S24" s="25"/>
      <c r="T24" s="1"/>
      <c r="U24" s="6"/>
    </row>
    <row r="25" spans="1:21">
      <c r="A25" s="50"/>
      <c r="B25" s="49"/>
      <c r="C25" s="49"/>
      <c r="D25" s="49"/>
      <c r="E25" s="26" t="s">
        <v>2</v>
      </c>
      <c r="F25" s="27"/>
      <c r="G25" s="28"/>
      <c r="H25" s="25" t="s">
        <v>13</v>
      </c>
      <c r="I25" s="27"/>
      <c r="J25" s="27"/>
      <c r="K25" s="27"/>
      <c r="L25" s="28"/>
      <c r="M25" s="26" t="s">
        <v>14</v>
      </c>
      <c r="N25" s="27"/>
      <c r="O25" s="28"/>
      <c r="P25" s="25">
        <f>[1]YTD!C29</f>
        <v>0</v>
      </c>
      <c r="Q25" s="25"/>
      <c r="R25" s="25">
        <f>[1]PrevFY!C29</f>
        <v>0</v>
      </c>
      <c r="S25" s="25"/>
      <c r="T25" s="1"/>
      <c r="U25" s="6"/>
    </row>
    <row r="26" spans="1:21">
      <c r="A26" s="29" t="s">
        <v>60</v>
      </c>
      <c r="B26" s="27"/>
      <c r="C26" s="27"/>
      <c r="D26" s="28"/>
      <c r="E26" s="17" t="s">
        <v>15</v>
      </c>
      <c r="F26" s="17" t="s">
        <v>16</v>
      </c>
      <c r="G26" s="17" t="s">
        <v>17</v>
      </c>
      <c r="H26" s="17" t="s">
        <v>18</v>
      </c>
      <c r="I26" s="17" t="s">
        <v>19</v>
      </c>
      <c r="J26" s="17" t="s">
        <v>20</v>
      </c>
      <c r="K26" s="17" t="s">
        <v>21</v>
      </c>
      <c r="L26" s="17" t="s">
        <v>22</v>
      </c>
      <c r="M26" s="17" t="s">
        <v>15</v>
      </c>
      <c r="N26" s="17" t="s">
        <v>16</v>
      </c>
      <c r="O26" s="17" t="s">
        <v>17</v>
      </c>
      <c r="P26" s="25" t="s">
        <v>16</v>
      </c>
      <c r="Q26" s="25"/>
      <c r="R26" s="25" t="s">
        <v>16</v>
      </c>
      <c r="S26" s="25"/>
      <c r="T26" s="14"/>
      <c r="U26" s="7"/>
    </row>
    <row r="27" spans="1:21">
      <c r="A27" s="30" t="s">
        <v>23</v>
      </c>
      <c r="B27" s="27"/>
      <c r="C27" s="27"/>
      <c r="D27" s="28"/>
      <c r="E27" s="24" t="s">
        <v>65</v>
      </c>
      <c r="F27" s="24" t="s">
        <v>65</v>
      </c>
      <c r="G27" s="24" t="s">
        <v>65</v>
      </c>
      <c r="H27" s="24" t="s">
        <v>65</v>
      </c>
      <c r="I27" s="24" t="s">
        <v>65</v>
      </c>
      <c r="J27" s="24" t="s">
        <v>65</v>
      </c>
      <c r="K27" s="24" t="s">
        <v>65</v>
      </c>
      <c r="L27" s="24" t="s">
        <v>65</v>
      </c>
      <c r="M27" s="24" t="s">
        <v>65</v>
      </c>
      <c r="N27" s="24" t="s">
        <v>65</v>
      </c>
      <c r="O27" s="24" t="s">
        <v>65</v>
      </c>
      <c r="P27" s="94" t="s">
        <v>65</v>
      </c>
      <c r="Q27" s="91"/>
      <c r="R27" s="94" t="s">
        <v>65</v>
      </c>
      <c r="S27" s="91"/>
      <c r="U27" s="5"/>
    </row>
    <row r="28" spans="1:21">
      <c r="A28" s="30" t="s">
        <v>24</v>
      </c>
      <c r="B28" s="27"/>
      <c r="C28" s="27"/>
      <c r="D28" s="28"/>
      <c r="E28" s="24" t="s">
        <v>65</v>
      </c>
      <c r="F28" s="24" t="s">
        <v>65</v>
      </c>
      <c r="G28" s="24" t="s">
        <v>65</v>
      </c>
      <c r="H28" s="24" t="s">
        <v>65</v>
      </c>
      <c r="I28" s="24" t="s">
        <v>65</v>
      </c>
      <c r="J28" s="24" t="s">
        <v>65</v>
      </c>
      <c r="K28" s="24" t="s">
        <v>65</v>
      </c>
      <c r="L28" s="24" t="s">
        <v>65</v>
      </c>
      <c r="M28" s="24" t="s">
        <v>65</v>
      </c>
      <c r="N28" s="24" t="s">
        <v>65</v>
      </c>
      <c r="O28" s="24" t="s">
        <v>65</v>
      </c>
      <c r="P28" s="94" t="s">
        <v>65</v>
      </c>
      <c r="Q28" s="91"/>
      <c r="R28" s="94" t="s">
        <v>65</v>
      </c>
      <c r="S28" s="91"/>
      <c r="U28" s="5"/>
    </row>
    <row r="29" spans="1:21">
      <c r="A29" s="30" t="s">
        <v>25</v>
      </c>
      <c r="B29" s="27"/>
      <c r="C29" s="27"/>
      <c r="D29" s="28"/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95">
        <v>0</v>
      </c>
      <c r="Q29" s="95"/>
      <c r="R29" s="95">
        <v>0</v>
      </c>
      <c r="S29" s="95"/>
      <c r="U29" s="5"/>
    </row>
    <row r="30" spans="1:21">
      <c r="A30" s="30" t="s">
        <v>26</v>
      </c>
      <c r="B30" s="27"/>
      <c r="C30" s="27"/>
      <c r="D30" s="28"/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95">
        <v>0</v>
      </c>
      <c r="Q30" s="95"/>
      <c r="R30" s="95">
        <v>0</v>
      </c>
      <c r="S30" s="95"/>
      <c r="U30" s="5"/>
    </row>
    <row r="31" spans="1:21">
      <c r="A31" s="4"/>
      <c r="H31" s="13"/>
      <c r="I31" s="14"/>
      <c r="J31" s="14"/>
      <c r="K31" s="14"/>
      <c r="L31" s="14"/>
      <c r="M31" s="14"/>
      <c r="U31" s="5"/>
    </row>
    <row r="32" spans="1:21">
      <c r="A32" s="31" t="s">
        <v>28</v>
      </c>
      <c r="B32" s="32"/>
      <c r="C32" s="32"/>
      <c r="D32" s="33"/>
      <c r="E32" s="37">
        <v>46182</v>
      </c>
      <c r="F32" s="38"/>
      <c r="G32" s="38"/>
      <c r="H32" s="38"/>
      <c r="I32" s="38"/>
      <c r="J32" s="38"/>
      <c r="K32" s="38"/>
      <c r="L32" s="38"/>
      <c r="M32" s="38"/>
      <c r="N32" s="39"/>
      <c r="O32" s="40"/>
      <c r="P32" s="32"/>
      <c r="Q32" s="32"/>
      <c r="R32" s="32"/>
      <c r="S32" s="32"/>
      <c r="T32" s="32"/>
      <c r="U32" s="41"/>
    </row>
    <row r="33" spans="1:21">
      <c r="A33" s="34"/>
      <c r="B33" s="35"/>
      <c r="C33" s="35"/>
      <c r="D33" s="36"/>
      <c r="E33" s="44" t="s">
        <v>29</v>
      </c>
      <c r="F33" s="38"/>
      <c r="G33" s="38"/>
      <c r="H33" s="38"/>
      <c r="I33" s="38"/>
      <c r="J33" s="38"/>
      <c r="K33" s="38"/>
      <c r="L33" s="38"/>
      <c r="M33" s="38"/>
      <c r="N33" s="39"/>
      <c r="O33" s="42"/>
      <c r="P33" s="35"/>
      <c r="Q33" s="35"/>
      <c r="R33" s="35"/>
      <c r="S33" s="35"/>
      <c r="T33" s="35"/>
      <c r="U33" s="43"/>
    </row>
    <row r="34" spans="1:21" s="2" customFormat="1">
      <c r="A34" s="84" t="s">
        <v>30</v>
      </c>
      <c r="B34" s="38"/>
      <c r="C34" s="38"/>
      <c r="D34" s="39"/>
      <c r="E34" s="11" t="s">
        <v>27</v>
      </c>
      <c r="F34" s="11" t="s">
        <v>31</v>
      </c>
      <c r="G34" s="10" t="s">
        <v>32</v>
      </c>
      <c r="H34" s="10" t="s">
        <v>33</v>
      </c>
      <c r="I34" s="10" t="s">
        <v>34</v>
      </c>
      <c r="J34" s="10" t="s">
        <v>35</v>
      </c>
      <c r="K34" s="85" t="s">
        <v>36</v>
      </c>
      <c r="L34" s="28"/>
      <c r="M34" s="85" t="s">
        <v>37</v>
      </c>
      <c r="N34" s="28"/>
      <c r="O34" s="85" t="s">
        <v>38</v>
      </c>
      <c r="P34" s="27"/>
      <c r="Q34" s="27"/>
      <c r="R34" s="28"/>
      <c r="S34" s="85" t="s">
        <v>39</v>
      </c>
      <c r="T34" s="27"/>
      <c r="U34" s="82"/>
    </row>
    <row r="35" spans="1:21">
      <c r="A35" s="60" t="s">
        <v>40</v>
      </c>
      <c r="B35" s="38"/>
      <c r="C35" s="38"/>
      <c r="D35" s="39"/>
      <c r="E35" s="16">
        <f>'[1]Line Stop_Prod Loss'!G5</f>
        <v>0.5</v>
      </c>
      <c r="F35" s="16">
        <f>'[1]Line Stop_Prod Loss'!H5</f>
        <v>73.7</v>
      </c>
      <c r="G35" s="16">
        <f>'[1]Line Stop_Prod Loss'!F5</f>
        <v>0</v>
      </c>
      <c r="H35" s="16">
        <f>'[1]Line Stop_Prod Loss'!E5</f>
        <v>0</v>
      </c>
      <c r="I35" s="16">
        <f>'[1]Line Stop_Prod Loss'!D5</f>
        <v>0</v>
      </c>
      <c r="J35" s="16">
        <f>'[1]Line Stop_Prod Loss'!C5</f>
        <v>0</v>
      </c>
      <c r="K35" s="16">
        <v>0</v>
      </c>
      <c r="L35" s="16">
        <v>0</v>
      </c>
      <c r="M35" s="16">
        <v>0</v>
      </c>
      <c r="N35" s="16">
        <v>0</v>
      </c>
      <c r="O35" s="83" t="s">
        <v>41</v>
      </c>
      <c r="P35" s="27"/>
      <c r="Q35" s="27"/>
      <c r="R35" s="28"/>
      <c r="S35" s="81"/>
      <c r="T35" s="27"/>
      <c r="U35" s="82"/>
    </row>
    <row r="36" spans="1:21">
      <c r="A36" s="60" t="s">
        <v>42</v>
      </c>
      <c r="B36" s="38"/>
      <c r="C36" s="38"/>
      <c r="D36" s="39"/>
      <c r="E36" s="8">
        <f>'[1]Line Stop_Prod Loss'!G6</f>
        <v>156.30000000000001</v>
      </c>
      <c r="F36" s="8">
        <f>'[1]Line Stop_Prod Loss'!H6</f>
        <v>0</v>
      </c>
      <c r="G36" s="8">
        <f>'[1]Line Stop_Prod Loss'!F6</f>
        <v>0</v>
      </c>
      <c r="H36" s="8">
        <f>'[1]Line Stop_Prod Loss'!E6</f>
        <v>0</v>
      </c>
      <c r="I36" s="8">
        <f>'[1]Line Stop_Prod Loss'!D6</f>
        <v>0</v>
      </c>
      <c r="J36" s="8">
        <f>'[1]Line Stop_Prod Loss'!C6</f>
        <v>0</v>
      </c>
      <c r="K36" s="8">
        <v>0</v>
      </c>
      <c r="L36" s="8">
        <v>0</v>
      </c>
      <c r="M36" s="8">
        <v>0</v>
      </c>
      <c r="N36" s="8">
        <v>0</v>
      </c>
      <c r="O36" s="83" t="s">
        <v>43</v>
      </c>
      <c r="P36" s="27"/>
      <c r="Q36" s="27"/>
      <c r="R36" s="28"/>
      <c r="S36" s="81"/>
      <c r="T36" s="27"/>
      <c r="U36" s="82"/>
    </row>
    <row r="37" spans="1:21">
      <c r="A37" s="60" t="s">
        <v>44</v>
      </c>
      <c r="B37" s="38"/>
      <c r="C37" s="38"/>
      <c r="D37" s="39"/>
      <c r="E37" s="8">
        <f>'[1]Line Stop_Prod Loss'!G7</f>
        <v>0</v>
      </c>
      <c r="F37" s="8">
        <f>'[1]Line Stop_Prod Loss'!H7</f>
        <v>0.2</v>
      </c>
      <c r="G37" s="8">
        <f>'[1]Line Stop_Prod Loss'!F7</f>
        <v>0</v>
      </c>
      <c r="H37" s="8">
        <f>'[1]Line Stop_Prod Loss'!E7</f>
        <v>0</v>
      </c>
      <c r="I37" s="8">
        <f>'[1]Line Stop_Prod Loss'!D7</f>
        <v>0</v>
      </c>
      <c r="J37" s="8">
        <f>'[1]Line Stop_Prod Loss'!C7</f>
        <v>0</v>
      </c>
      <c r="K37" s="8">
        <v>0</v>
      </c>
      <c r="L37" s="8">
        <v>0</v>
      </c>
      <c r="M37" s="8">
        <v>0</v>
      </c>
      <c r="N37" s="8">
        <v>0</v>
      </c>
      <c r="O37" s="83"/>
      <c r="P37" s="27"/>
      <c r="Q37" s="27"/>
      <c r="R37" s="28"/>
      <c r="S37" s="81"/>
      <c r="T37" s="27"/>
      <c r="U37" s="82"/>
    </row>
    <row r="38" spans="1:21">
      <c r="A38" s="60" t="s">
        <v>45</v>
      </c>
      <c r="B38" s="38"/>
      <c r="C38" s="38"/>
      <c r="D38" s="39"/>
      <c r="E38" s="8">
        <f>'[1]Line Stop_Prod Loss'!G8</f>
        <v>0.1</v>
      </c>
      <c r="F38" s="8">
        <f>'[1]Line Stop_Prod Loss'!H8</f>
        <v>0.1</v>
      </c>
      <c r="G38" s="8">
        <f>'[1]Line Stop_Prod Loss'!F8</f>
        <v>0</v>
      </c>
      <c r="H38" s="8">
        <f>'[1]Line Stop_Prod Loss'!E8</f>
        <v>0</v>
      </c>
      <c r="I38" s="8">
        <f>'[1]Line Stop_Prod Loss'!D8</f>
        <v>0</v>
      </c>
      <c r="J38" s="8">
        <f>'[1]Line Stop_Prod Loss'!C8</f>
        <v>0</v>
      </c>
      <c r="K38" s="8">
        <v>0</v>
      </c>
      <c r="L38" s="8">
        <v>0</v>
      </c>
      <c r="M38" s="8">
        <v>0</v>
      </c>
      <c r="N38" s="8">
        <v>0</v>
      </c>
      <c r="O38" s="83" t="s">
        <v>46</v>
      </c>
      <c r="P38" s="27"/>
      <c r="Q38" s="27"/>
      <c r="R38" s="28"/>
      <c r="S38" s="81"/>
      <c r="T38" s="27"/>
      <c r="U38" s="82"/>
    </row>
    <row r="39" spans="1:21" ht="15" thickBot="1">
      <c r="A39" s="86" t="s">
        <v>47</v>
      </c>
      <c r="B39" s="87"/>
      <c r="C39" s="87"/>
      <c r="D39" s="88"/>
      <c r="E39" s="22">
        <f>'[1]Line Stop_Prod Loss'!G9</f>
        <v>0</v>
      </c>
      <c r="F39" s="22">
        <f>'[1]Line Stop_Prod Loss'!H9</f>
        <v>0</v>
      </c>
      <c r="G39" s="22">
        <f>'[1]Line Stop_Prod Loss'!F9</f>
        <v>0</v>
      </c>
      <c r="H39" s="22">
        <f>'[1]Line Stop_Prod Loss'!E9</f>
        <v>0</v>
      </c>
      <c r="I39" s="22">
        <f>'[1]Line Stop_Prod Loss'!D9</f>
        <v>0</v>
      </c>
      <c r="J39" s="22">
        <f>'[1]Line Stop_Prod Loss'!C9</f>
        <v>0</v>
      </c>
      <c r="K39" s="22">
        <v>0</v>
      </c>
      <c r="L39" s="22">
        <v>0</v>
      </c>
      <c r="M39" s="22">
        <v>0</v>
      </c>
      <c r="N39" s="22">
        <v>0</v>
      </c>
      <c r="O39" s="55"/>
      <c r="P39" s="52"/>
      <c r="Q39" s="52"/>
      <c r="R39" s="56"/>
      <c r="S39" s="51"/>
      <c r="T39" s="52"/>
      <c r="U39" s="53"/>
    </row>
    <row r="40" spans="1:21">
      <c r="L40" s="1"/>
    </row>
    <row r="41" spans="1:21" ht="15" customHeight="1"/>
  </sheetData>
  <mergeCells count="111">
    <mergeCell ref="R20:S20"/>
    <mergeCell ref="P21:Q21"/>
    <mergeCell ref="R21:S21"/>
    <mergeCell ref="P18:Q18"/>
    <mergeCell ref="R18:S18"/>
    <mergeCell ref="P19:Q19"/>
    <mergeCell ref="R19:S19"/>
    <mergeCell ref="R9:S9"/>
    <mergeCell ref="R10:S10"/>
    <mergeCell ref="R11:S11"/>
    <mergeCell ref="R12:S12"/>
    <mergeCell ref="R13:S13"/>
    <mergeCell ref="S34:U34"/>
    <mergeCell ref="A35:D35"/>
    <mergeCell ref="O35:R35"/>
    <mergeCell ref="S35:U35"/>
    <mergeCell ref="A39:D39"/>
    <mergeCell ref="A36:D36"/>
    <mergeCell ref="A12:D12"/>
    <mergeCell ref="A20:D20"/>
    <mergeCell ref="A21:D21"/>
    <mergeCell ref="A18:D18"/>
    <mergeCell ref="A19:D19"/>
    <mergeCell ref="A23:S23"/>
    <mergeCell ref="A24:D25"/>
    <mergeCell ref="E24:G24"/>
    <mergeCell ref="P12:Q12"/>
    <mergeCell ref="P13:Q13"/>
    <mergeCell ref="P20:Q20"/>
    <mergeCell ref="P28:Q28"/>
    <mergeCell ref="A28:D28"/>
    <mergeCell ref="A29:D29"/>
    <mergeCell ref="A30:D30"/>
    <mergeCell ref="H24:L24"/>
    <mergeCell ref="M24:O24"/>
    <mergeCell ref="P24:Q24"/>
    <mergeCell ref="B2:C2"/>
    <mergeCell ref="F2:L3"/>
    <mergeCell ref="N2:Q2"/>
    <mergeCell ref="R2:S2"/>
    <mergeCell ref="B3:C3"/>
    <mergeCell ref="N3:Q3"/>
    <mergeCell ref="R3:S3"/>
    <mergeCell ref="N4:Q4"/>
    <mergeCell ref="M7:O7"/>
    <mergeCell ref="P7:Q7"/>
    <mergeCell ref="R7:S7"/>
    <mergeCell ref="R4:S4"/>
    <mergeCell ref="S39:U39"/>
    <mergeCell ref="A11:D11"/>
    <mergeCell ref="O39:R39"/>
    <mergeCell ref="A13:D13"/>
    <mergeCell ref="A38:D38"/>
    <mergeCell ref="A6:S6"/>
    <mergeCell ref="A7:D8"/>
    <mergeCell ref="E7:G7"/>
    <mergeCell ref="H7:L7"/>
    <mergeCell ref="E8:G8"/>
    <mergeCell ref="H8:L8"/>
    <mergeCell ref="M8:O8"/>
    <mergeCell ref="P8:Q8"/>
    <mergeCell ref="S38:U38"/>
    <mergeCell ref="O36:R36"/>
    <mergeCell ref="S37:U37"/>
    <mergeCell ref="O38:R38"/>
    <mergeCell ref="A37:D37"/>
    <mergeCell ref="O37:R37"/>
    <mergeCell ref="S36:U36"/>
    <mergeCell ref="A34:D34"/>
    <mergeCell ref="K34:L34"/>
    <mergeCell ref="M34:N34"/>
    <mergeCell ref="O34:R34"/>
    <mergeCell ref="R8:S8"/>
    <mergeCell ref="A9:D9"/>
    <mergeCell ref="A10:D10"/>
    <mergeCell ref="A15:S15"/>
    <mergeCell ref="A16:D17"/>
    <mergeCell ref="E16:G16"/>
    <mergeCell ref="H16:L16"/>
    <mergeCell ref="M16:O16"/>
    <mergeCell ref="P16:Q16"/>
    <mergeCell ref="R16:S16"/>
    <mergeCell ref="E17:G17"/>
    <mergeCell ref="H17:L17"/>
    <mergeCell ref="M17:O17"/>
    <mergeCell ref="P17:Q17"/>
    <mergeCell ref="R17:S17"/>
    <mergeCell ref="P9:Q9"/>
    <mergeCell ref="P10:Q10"/>
    <mergeCell ref="P11:Q11"/>
    <mergeCell ref="R24:S24"/>
    <mergeCell ref="E25:G25"/>
    <mergeCell ref="H25:L25"/>
    <mergeCell ref="M25:O25"/>
    <mergeCell ref="P25:Q25"/>
    <mergeCell ref="R25:S25"/>
    <mergeCell ref="A26:D26"/>
    <mergeCell ref="A27:D27"/>
    <mergeCell ref="A32:D33"/>
    <mergeCell ref="E32:N32"/>
    <mergeCell ref="O32:U33"/>
    <mergeCell ref="E33:N33"/>
    <mergeCell ref="R28:S28"/>
    <mergeCell ref="P29:Q29"/>
    <mergeCell ref="R29:S29"/>
    <mergeCell ref="P30:Q30"/>
    <mergeCell ref="R30:S30"/>
    <mergeCell ref="P26:Q26"/>
    <mergeCell ref="R26:S26"/>
    <mergeCell ref="P27:Q27"/>
    <mergeCell ref="R27:S27"/>
  </mergeCells>
  <pageMargins left="0.7" right="0.7" top="0.75" bottom="0.75" header="0.3" footer="0.3"/>
  <pageSetup paperSize="9" scale="49" orientation="landscape" r:id="rId1"/>
  <rowBreaks count="2" manualBreakCount="2">
    <brk id="1" max="20" man="1"/>
    <brk id="66" max="2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2"/>
  <sheetViews>
    <sheetView workbookViewId="0">
      <selection activeCell="L3" sqref="L3"/>
    </sheetView>
  </sheetViews>
  <sheetFormatPr defaultColWidth="9" defaultRowHeight="14.4"/>
  <cols>
    <col min="12" max="12" width="9.6640625" customWidth="1"/>
  </cols>
  <sheetData>
    <row r="1" spans="2:13">
      <c r="B1" t="s">
        <v>48</v>
      </c>
    </row>
    <row r="2" spans="2:13">
      <c r="C2" t="s">
        <v>49</v>
      </c>
      <c r="D2" t="s">
        <v>50</v>
      </c>
      <c r="E2" t="s">
        <v>51</v>
      </c>
      <c r="F2" t="s">
        <v>52</v>
      </c>
      <c r="L2" t="s">
        <v>53</v>
      </c>
      <c r="M2" t="s">
        <v>54</v>
      </c>
    </row>
    <row r="3" spans="2:13"/>
    <row r="11" spans="2:13">
      <c r="B11" t="s">
        <v>55</v>
      </c>
    </row>
    <row r="12" spans="2:13">
      <c r="C12" t="s">
        <v>49</v>
      </c>
      <c r="D12" t="s">
        <v>50</v>
      </c>
      <c r="E12" t="s">
        <v>51</v>
      </c>
      <c r="F12" t="s">
        <v>52</v>
      </c>
    </row>
    <row r="13" spans="2:13"/>
    <row r="20" spans="2:6">
      <c r="B20" t="s">
        <v>56</v>
      </c>
    </row>
    <row r="21" spans="2:6">
      <c r="C21" t="s">
        <v>49</v>
      </c>
      <c r="D21" t="s">
        <v>50</v>
      </c>
      <c r="E21" t="s">
        <v>51</v>
      </c>
      <c r="F21" t="s">
        <v>52</v>
      </c>
    </row>
    <row r="22" spans="2:6"/>
    <row r="30" spans="2:6">
      <c r="B30" t="s">
        <v>57</v>
      </c>
    </row>
    <row r="31" spans="2:6">
      <c r="C31" t="s">
        <v>49</v>
      </c>
      <c r="D31" t="s">
        <v>50</v>
      </c>
      <c r="E31" t="s">
        <v>51</v>
      </c>
      <c r="F31" t="s">
        <v>52</v>
      </c>
    </row>
    <row r="32" spans="2:6"/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Prod Report</vt:lpstr>
      <vt:lpstr>Daily</vt:lpstr>
      <vt:lpstr>Daily_C12_F13</vt:lpstr>
      <vt:lpstr>Daily_C2_F3</vt:lpstr>
      <vt:lpstr>Daily_C21_F22</vt:lpstr>
      <vt:lpstr>Daily_C31_F32</vt:lpstr>
      <vt:lpstr>Daily_L2_M3</vt:lpstr>
      <vt:lpstr>'Prod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rege</cp:lastModifiedBy>
  <cp:lastPrinted>2026-06-09T12:02:08Z</cp:lastPrinted>
  <dcterms:created xsi:type="dcterms:W3CDTF">2006-09-16T00:00:00Z</dcterms:created>
  <dcterms:modified xsi:type="dcterms:W3CDTF">2026-06-10T06:01:01Z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408DD1E7D71E4B45A07D64CD5180090F_12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